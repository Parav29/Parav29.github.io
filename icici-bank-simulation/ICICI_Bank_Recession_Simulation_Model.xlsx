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Decision_Log" sheetId="3" state="visible" r:id="rId5"/>
    <sheet name="Market" sheetId="4" state="visible" r:id="rId6"/>
    <sheet name="Decisions" sheetId="5" state="visible" r:id="rId7"/>
    <sheet name="Baseline" sheetId="6" state="visible" r:id="rId8"/>
    <sheet name="Loan_Book" sheetId="7" state="visible" r:id="rId9"/>
    <sheet name="NPA_Provisions" sheetId="8" state="visible" r:id="rId10"/>
    <sheet name="Funding" sheetId="9" state="visible" r:id="rId11"/>
    <sheet name="P&amp;L" sheetId="10" state="visible" r:id="rId12"/>
    <sheet name="Balance_Sheet" sheetId="11" state="visible" r:id="rId13"/>
    <sheet name="Capital_RAROC" sheetId="12" state="visible" r:id="rId14"/>
    <sheet name="Segment_RAROC" sheetId="13" state="visible" r:id="rId15"/>
    <sheet name="Market_Share" sheetId="14" state="visible" r:id="rId16"/>
    <sheet name="Customer_Survey" sheetId="15" state="visible" r:id="rId17"/>
    <sheet name="Sourc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<sst xmlns="http://schemas.openxmlformats.org/spreadsheetml/2006/main" count="709" uniqueCount="525">
  <si>
    <t xml:space="preserve">ICICI BANK | RECESSION BANKING SIMULATION MODEL</t>
  </si>
  <si>
    <t xml:space="preserve">CIA 3 – Banking Simulation (20% weightage) | Opening position: ICICI Bank audited standalone results, 31 March 2026 | 8 quarterly rounds under a recession</t>
  </si>
  <si>
    <t xml:space="preserve">HOW TO USE</t>
  </si>
  <si>
    <t xml:space="preserve">1. Market</t>
  </si>
  <si>
    <t xml:space="preserve">Recession conditions for each round (repo rate, default stress, system growth, fee activity, treasury). Replace the blue cells with the conditions the faculty announces in class.</t>
  </si>
  <si>
    <t xml:space="preserve">2. Decisions</t>
  </si>
  <si>
    <t xml:space="preserve">Our management decisions for each quarter: loan growth by segment, pricing, deposit rates, marketing, collections, underwriting, provisioning and dividend. Every number on every other sheet recalculates from these two sheets.</t>
  </si>
  <si>
    <t xml:space="preserve">3. Engine sheets</t>
  </si>
  <si>
    <t xml:space="preserve">Loan_Book → NPA_Provisions → Funding → P&amp;L → Balance_Sheet → Capital_RAROC. Each quarter rolls forward from the previous quarter's closing balance.</t>
  </si>
  <si>
    <t xml:space="preserve">4. Scorecard sheets</t>
  </si>
  <si>
    <t xml:space="preserve">Segment_RAROC (where capital earns the most), Market_Share, Customer_Survey (simulated survey + questionnaire) and Dashboard (one-page summary).</t>
  </si>
  <si>
    <t xml:space="preserve">5. Decision_Log</t>
  </si>
  <si>
    <t xml:space="preserve">What happened each round, what we decided and why – this is what we narrate in class.</t>
  </si>
  <si>
    <t xml:space="preserve">COLOUR CODE</t>
  </si>
  <si>
    <t xml:space="preserve">Blue text, yellow fill</t>
  </si>
  <si>
    <t xml:space="preserve">Input / decision lever – safe to change</t>
  </si>
  <si>
    <t xml:space="preserve">Blue text, no fill</t>
  </si>
  <si>
    <t xml:space="preserve">Sourced actual (ICICI filings / RBI) or estimate – see Sources sheet</t>
  </si>
  <si>
    <t xml:space="preserve">Black text</t>
  </si>
  <si>
    <t xml:space="preserve">Formula – do not overwrite</t>
  </si>
  <si>
    <t xml:space="preserve">DATA LABELS</t>
  </si>
  <si>
    <t xml:space="preserve">A = Actual</t>
  </si>
  <si>
    <t xml:space="preserve">ICICI Bank reported standalone figure (FY25, FY26)</t>
  </si>
  <si>
    <t xml:space="preserve">E = Estimate</t>
  </si>
  <si>
    <t xml:space="preserve">Balance-sheet split or segment mix estimated from ICICI disclosures so that totals tie to reported figures</t>
  </si>
  <si>
    <t xml:space="preserve">S = Simulation</t>
  </si>
  <si>
    <t xml:space="preserve">All Y1–Y2 figures are fictional outcomes of the recession scenario and our decisions; they are NOT ICICI Bank results</t>
  </si>
  <si>
    <t xml:space="preserve">UNITS</t>
  </si>
  <si>
    <t xml:space="preserve">₹ crore unless stated. Quarterly ratios that are annualised say so. Sim Year columns: flows = sum of 4 quarters; balances = year-end.</t>
  </si>
  <si>
    <t xml:space="preserve">INTEGRITY CHECKS</t>
  </si>
  <si>
    <t xml:space="preserve">Dashboard bottom rows: balance sheet must balance (0) and annual PAT must equal the sum of quarters (0).</t>
  </si>
  <si>
    <t xml:space="preserve">ICICI BANK | SIMULATION SCORECARD</t>
  </si>
  <si>
    <t xml:space="preserve">The four metrics the brief grades on – profitability, customer satisfaction, market share and RAROC – plus capital and asset quality.</t>
  </si>
  <si>
    <t xml:space="preserve">Metric</t>
  </si>
  <si>
    <t xml:space="preserve">FY2025 (A)</t>
  </si>
  <si>
    <t xml:space="preserve">FY2026 (A)</t>
  </si>
  <si>
    <t xml:space="preserve">Sim Year 1</t>
  </si>
  <si>
    <t xml:space="preserve">Sim Year 2</t>
  </si>
  <si>
    <t xml:space="preserve">Y2 vs FY26</t>
  </si>
  <si>
    <t xml:space="preserve">Comment</t>
  </si>
  <si>
    <t xml:space="preserve">PROFITABILITY</t>
  </si>
  <si>
    <t xml:space="preserve">Net interest income</t>
  </si>
  <si>
    <t xml:space="preserve">Pre-provision operating profit</t>
  </si>
  <si>
    <t xml:space="preserve">Provisions</t>
  </si>
  <si>
    <t xml:space="preserve">Net profit (PAT)</t>
  </si>
  <si>
    <t xml:space="preserve">Return on assets</t>
  </si>
  <si>
    <t xml:space="preserve">Return on equity</t>
  </si>
  <si>
    <t xml:space="preserve">Net interest margin</t>
  </si>
  <si>
    <t xml:space="preserve">FY25/FY26 reported 4.32%; model basis = avg earning assets</t>
  </si>
  <si>
    <t xml:space="preserve">Cost-to-income</t>
  </si>
  <si>
    <t xml:space="preserve">RISK-ADJUSTED RETURN</t>
  </si>
  <si>
    <t xml:space="preserve">RAROC</t>
  </si>
  <si>
    <t xml:space="preserve">Hurdle 14%</t>
  </si>
  <si>
    <t xml:space="preserve">Economic value added (₹ cr)</t>
  </si>
  <si>
    <t xml:space="preserve">ASSET QUALITY</t>
  </si>
  <si>
    <t xml:space="preserve">Gross NPA ratio</t>
  </si>
  <si>
    <t xml:space="preserve">Net NPA ratio</t>
  </si>
  <si>
    <t xml:space="preserve">Credit cost</t>
  </si>
  <si>
    <t xml:space="preserve">Contingency buffer left (₹ cr)</t>
  </si>
  <si>
    <t xml:space="preserve">CAPITAL &amp; LIQUIDITY</t>
  </si>
  <si>
    <t xml:space="preserve">CET-1 ratio</t>
  </si>
  <si>
    <t xml:space="preserve">Minimum 8.20%</t>
  </si>
  <si>
    <t xml:space="preserve">Total capital adequacy</t>
  </si>
  <si>
    <t xml:space="preserve">Minimum 11.70%</t>
  </si>
  <si>
    <t xml:space="preserve">Loan-to-deposit ratio</t>
  </si>
  <si>
    <t xml:space="preserve">CASA ratio</t>
  </si>
  <si>
    <t xml:space="preserve">GROWTH &amp; MARKET SHARE</t>
  </si>
  <si>
    <t xml:space="preserve">Deposits</t>
  </si>
  <si>
    <t xml:space="preserve">Net advances</t>
  </si>
  <si>
    <t xml:space="preserve">Deposit market share</t>
  </si>
  <si>
    <t xml:space="preserve">Credit market share</t>
  </si>
  <si>
    <t xml:space="preserve">CUSTOMER</t>
  </si>
  <si>
    <t xml:space="preserve">Customer satisfaction index (simulated survey)</t>
  </si>
  <si>
    <t xml:space="preserve">Average of four rounds</t>
  </si>
  <si>
    <t xml:space="preserve">Net Promoter Score (simulated survey)</t>
  </si>
  <si>
    <t xml:space="preserve">MODEL INTEGRITY CHECKS (should all be 0)</t>
  </si>
  <si>
    <t xml:space="preserve">Balance sheet check</t>
  </si>
  <si>
    <t xml:space="preserve">PAT annual vs sum of quarters</t>
  </si>
  <si>
    <t xml:space="preserve">GNPA roll-forward check</t>
  </si>
  <si>
    <t xml:space="preserve">DECISION LOG | WHAT HAPPENED, WHAT WE DID, WHY</t>
  </si>
  <si>
    <t xml:space="preserve">Round</t>
  </si>
  <si>
    <t xml:space="preserve">Market condition</t>
  </si>
  <si>
    <t xml:space="preserve">Our decision</t>
  </si>
  <si>
    <t xml:space="preserve">Why</t>
  </si>
  <si>
    <t xml:space="preserve">PAT (₹ cr)</t>
  </si>
  <si>
    <t xml:space="preserve">GNPA</t>
  </si>
  <si>
    <t xml:space="preserve">Round 1
Y1 Q1</t>
  </si>
  <si>
    <t xml:space="preserve">Downturn begins: GDP slows to 4.8%, defaults 1.4× normal, fee activity −5%.</t>
  </si>
  <si>
    <t xml:space="preserve">Start defensively: shrink unsecured retail 1%, tighten underwriting 5%, top up contingency buffer by ₹1,000 cr, launch salary-account and 'safe bank' campaign (₹300 cr).</t>
  </si>
  <si>
    <t xml:space="preserve">Act before NPAs show up in the numbers – buffers are cheapest to build while profits are still high.</t>
  </si>
  <si>
    <t xml:space="preserve">Round 2
Y1 Q2</t>
  </si>
  <si>
    <t xml:space="preserve">RBI cuts repo to 5.00%; defaults 2.0×; CASA starts leaking into FDs.</t>
  </si>
  <si>
    <t xml:space="preserve">Add 25 bp risk premium on unsecured/SME, pay 10 bp FD premium, raise collections spend to ₹250 cr, pay the ₹12/share dividend already declared.</t>
  </si>
  <si>
    <t xml:space="preserve">Price risk honestly, lock in stable deposits, and honour the commitment to shareholders while capital is ample.</t>
  </si>
  <si>
    <t xml:space="preserve">Round 3
Y1 Q3</t>
  </si>
  <si>
    <t xml:space="preserve">Recession deepens: GDP 2.2%, defaults 2.6×, recoveries weaken. Our RAROC slips below the 14% hurdle.</t>
  </si>
  <si>
    <t xml:space="preserve">Cut unsecured book 3%, tighten underwriting 15%, risk premium to 50 bp, raise PCR to 77%, release ₹1,500 cr of contingency buffer.</t>
  </si>
  <si>
    <t xml:space="preserve">Segment RAROC shows unsecured and rural lose the most capital value under stress – shrink them; the buffer exists for exactly this moment.</t>
  </si>
  <si>
    <t xml:space="preserve">Round 4
Y1 Q4</t>
  </si>
  <si>
    <t xml:space="preserve">Trough: defaults peak at 3.0× normal, credit demand almost flat.</t>
  </si>
  <si>
    <t xml:space="preserve">Release ₹3,000 cr buffer, raise PCR to 78%, keep growing secured retail (+1.5%) and AAA/AA corporate (+2%), hold core cost growth at 0.5%.</t>
  </si>
  <si>
    <t xml:space="preserve">Protect capital and keep lending to the strongest borrowers; CET-1 stays above 16.5%, so we can absorb losses without stopping good lending.</t>
  </si>
  <si>
    <t xml:space="preserve">Round 5
Y2 Q1</t>
  </si>
  <si>
    <t xml:space="preserve">Early recovery: GDP 2.5%, defaults easing to 2.7×; GNPA still rising.</t>
  </si>
  <si>
    <t xml:space="preserve">Release ₹2,000 cr more, keep collections at ₹250 cr, restart SME (+1%) and rural (+0.5%) growth.</t>
  </si>
  <si>
    <t xml:space="preserve">Stress is past its peak; position the book for the upturn without loosening underwriting.</t>
  </si>
  <si>
    <t xml:space="preserve">Round 6
Y2 Q2</t>
  </si>
  <si>
    <t xml:space="preserve">Stabilising: defaults 2.2×, credit demand returns; RAROC back above hurdle.</t>
  </si>
  <si>
    <t xml:space="preserve">Cut dividend to ₹10/share, halve the risk premium to 25 bp, hold unsecured lending flat, step up marketing to ₹350 cr.</t>
  </si>
  <si>
    <t xml:space="preserve">Retain capital for recovery growth and pass lower expected loss back to customers.</t>
  </si>
  <si>
    <t xml:space="preserve">Round 7
Y2 Q3</t>
  </si>
  <si>
    <t xml:space="preserve">Recovery: GDP 4.5%, repo stable, fees recover.</t>
  </si>
  <si>
    <t xml:space="preserve">Grow every segment, end the FD premium, rebuild contingency buffer by ₹500 cr.</t>
  </si>
  <si>
    <t xml:space="preserve">Rebuild the shock absorber for the next downturn while gaining market share.</t>
  </si>
  <si>
    <t xml:space="preserve">Round 8
Y2 Q4</t>
  </si>
  <si>
    <t xml:space="preserve">Normalisation: GDP 5.5%, RBI hikes 25 bp.</t>
  </si>
  <si>
    <t xml:space="preserve">Full growth in secured retail (+2.5%), SME (+2.5%) and corporate; rebuild buffer by ₹1,000 cr.</t>
  </si>
  <si>
    <t xml:space="preserve">Return to share gains with a safer, more secured loan mix than before the recession.</t>
  </si>
  <si>
    <t xml:space="preserve">MARKET CONDITIONS | RECESSION SCENARIO (INPUTS)</t>
  </si>
  <si>
    <t xml:space="preserve">Blue/yellow cells are the economic environment for each round. Replace with the conditions announced in class; everything downstream recalculates.</t>
  </si>
  <si>
    <t xml:space="preserve">Round 1</t>
  </si>
  <si>
    <t xml:space="preserve">Round 2</t>
  </si>
  <si>
    <t xml:space="preserve">Round 3</t>
  </si>
  <si>
    <t xml:space="preserve">Round 4</t>
  </si>
  <si>
    <t xml:space="preserve">Round 5</t>
  </si>
  <si>
    <t xml:space="preserve">Round 6</t>
  </si>
  <si>
    <t xml:space="preserve">Round 7</t>
  </si>
  <si>
    <t xml:space="preserve">Round 8</t>
  </si>
  <si>
    <t xml:space="preserve">Particulars</t>
  </si>
  <si>
    <t xml:space="preserve">Opening (Mar-26)</t>
  </si>
  <si>
    <t xml:space="preserve">Y1 Q1</t>
  </si>
  <si>
    <t xml:space="preserve">Y1 Q2</t>
  </si>
  <si>
    <t xml:space="preserve">Y1 Q3</t>
  </si>
  <si>
    <t xml:space="preserve">Y1 Q4</t>
  </si>
  <si>
    <t xml:space="preserve">Y2 Q1</t>
  </si>
  <si>
    <t xml:space="preserve">Y2 Q2</t>
  </si>
  <si>
    <t xml:space="preserve">Y2 Q3</t>
  </si>
  <si>
    <t xml:space="preserve">Y2 Q4</t>
  </si>
  <si>
    <t xml:space="preserve">Basis / note</t>
  </si>
  <si>
    <t xml:space="preserve">ECONOMY &amp; POLICY</t>
  </si>
  <si>
    <t xml:space="preserve">Real GDP growth (annualised, %)</t>
  </si>
  <si>
    <t xml:space="preserve">S – recession troughs in Y1 Q4, recovery through Y2</t>
  </si>
  <si>
    <t xml:space="preserve">RBI repo rate (end of quarter)</t>
  </si>
  <si>
    <t xml:space="preserve">S – RBI eases 75 bp into the downturn, hikes 25 bp in recovery</t>
  </si>
  <si>
    <t xml:space="preserve">Change in repo vs opening</t>
  </si>
  <si>
    <t xml:space="preserve">CREDIT &amp; DEPOSIT MARKET</t>
  </si>
  <si>
    <t xml:space="preserve">Default stress multiplier (× normal slippage rates)</t>
  </si>
  <si>
    <t xml:space="preserve">S – job losses &amp; weaker cash flows lift fresh NPAs; peaks at 3.0× normal</t>
  </si>
  <si>
    <t xml:space="preserve">Recovery environment index (1 = normal)</t>
  </si>
  <si>
    <t xml:space="preserve">S – collateral values and borrower capacity fall in recession</t>
  </si>
  <si>
    <t xml:space="preserve">System deposit growth (quarterly)</t>
  </si>
  <si>
    <t xml:space="preserve">S – flight to safety keeps deposits growing</t>
  </si>
  <si>
    <t xml:space="preserve">System credit growth (quarterly)</t>
  </si>
  <si>
    <t xml:space="preserve">S – loan demand collapses then recovers</t>
  </si>
  <si>
    <t xml:space="preserve">CASA ratio drift (pp per quarter, market-driven)</t>
  </si>
  <si>
    <t xml:space="preserve">S – savers move from CASA to term deposits</t>
  </si>
  <si>
    <t xml:space="preserve">Fee activity index (1 = FY26 run-rate)</t>
  </si>
  <si>
    <t xml:space="preserve">S – fewer disbursements, card spends and distribution fees</t>
  </si>
  <si>
    <t xml:space="preserve">Treasury gains / (losses) on bond book (₹ cr)</t>
  </si>
  <si>
    <t xml:space="preserve">S – falling yields create mark-to-market gains</t>
  </si>
  <si>
    <t xml:space="preserve">BEHAVIOURAL ELASTICITIES (CONSTANTS)</t>
  </si>
  <si>
    <t xml:space="preserve">Share of loan book repricing with repo (floating EBLR/MCLR)</t>
  </si>
  <si>
    <t xml:space="preserve">E – external-benchmark loans reprice within a quarter</t>
  </si>
  <si>
    <t xml:space="preserve">Term-deposit rate pass-through of repo change</t>
  </si>
  <si>
    <t xml:space="preserve">E – term deposits reprice slowly</t>
  </si>
  <si>
    <t xml:space="preserve">CASA (savings) rate pass-through of repo change</t>
  </si>
  <si>
    <t xml:space="preserve">E</t>
  </si>
  <si>
    <t xml:space="preserve">Investment-book yield pass-through of repo change</t>
  </si>
  <si>
    <t xml:space="preserve">E – only new purchases reprice</t>
  </si>
  <si>
    <t xml:space="preserve">Extra deposit growth per 10 bp term-deposit premium (per qtr)</t>
  </si>
  <si>
    <t xml:space="preserve">Extra deposit growth per ₹100 cr marketing (per qtr)</t>
  </si>
  <si>
    <t xml:space="preserve">CASA uplift per ₹100 cr marketing (pp per qtr)</t>
  </si>
  <si>
    <t xml:space="preserve">E – salary &amp; current-account campaigns</t>
  </si>
  <si>
    <t xml:space="preserve">Recovery uplift per ₹100 cr collections spend</t>
  </si>
  <si>
    <t xml:space="preserve">E – early-warning teams, restructuring desks</t>
  </si>
  <si>
    <t xml:space="preserve">System deposits at 31 Mar 2026 (₹ cr)</t>
  </si>
  <si>
    <t xml:space="preserve">A – RBI scheduled commercial banks, deposits from non-bank customers</t>
  </si>
  <si>
    <t xml:space="preserve">System bank credit at 31 Mar 2026 (₹ cr)</t>
  </si>
  <si>
    <t xml:space="preserve">E – RBI fortnightly data, rounded</t>
  </si>
  <si>
    <t xml:space="preserve">Corporate tax rate</t>
  </si>
  <si>
    <t xml:space="preserve">A – statutory rate for banks under s.115BAA</t>
  </si>
  <si>
    <t xml:space="preserve">OUR DECISIONS | QUARTERLY MANAGEMENT LEVERS (INPUTS)</t>
  </si>
  <si>
    <t xml:space="preserve">Team ICICI's choices each round across the four levers the brief asks for: investment, pricing, marketing and risk management.</t>
  </si>
  <si>
    <t xml:space="preserve">FY26 base</t>
  </si>
  <si>
    <t xml:space="preserve">1. INVESTMENT STRATEGY – where we allocate the loan book (quarterly growth)</t>
  </si>
  <si>
    <t xml:space="preserve">Secured retail (mortgages, auto, gold)</t>
  </si>
  <si>
    <t xml:space="preserve">Lean into collateralised lending where losses are small</t>
  </si>
  <si>
    <t xml:space="preserve">Unsecured retail (personal loans, credit cards)</t>
  </si>
  <si>
    <t xml:space="preserve">Shrink the book most sensitive to job losses; restart in recovery</t>
  </si>
  <si>
    <t xml:space="preserve">Business banking &amp; SME</t>
  </si>
  <si>
    <t xml:space="preserve">Keep cash-flow-backed working capital; slow term loans</t>
  </si>
  <si>
    <t xml:space="preserve">Rural &amp; agri</t>
  </si>
  <si>
    <t xml:space="preserve">Pause, then return with priority-sector obligations</t>
  </si>
  <si>
    <t xml:space="preserve">Corporate &amp; wholesale</t>
  </si>
  <si>
    <t xml:space="preserve">Grow with AAA/AA names as safe balance-sheet ballast</t>
  </si>
  <si>
    <t xml:space="preserve">2. PRICING</t>
  </si>
  <si>
    <t xml:space="preserve">Risk premium on unsecured &amp; SME loans (bp vs base)</t>
  </si>
  <si>
    <t xml:space="preserve">Price for higher expected loss; unwind in recovery</t>
  </si>
  <si>
    <t xml:space="preserve">Rate offer on secured retail (bp vs base)</t>
  </si>
  <si>
    <t xml:space="preserve">Small discount to win good-quality home-loan share</t>
  </si>
  <si>
    <t xml:space="preserve">Term-deposit rate premium vs market (bp)</t>
  </si>
  <si>
    <t xml:space="preserve">Pay a little more to lock in stable funding</t>
  </si>
  <si>
    <t xml:space="preserve">3. MARKETING &amp; CUSTOMER</t>
  </si>
  <si>
    <t xml:space="preserve">Incremental marketing &amp; retention spend (₹ cr)</t>
  </si>
  <si>
    <t xml:space="preserve">Salary accounts, iMobile campaigns, 'safe bank' messaging</t>
  </si>
  <si>
    <t xml:space="preserve">Digital service &amp; customer-support investment (₹ cr)</t>
  </si>
  <si>
    <t xml:space="preserve">Faster grievance resolution, EMI-relief journeys in-app</t>
  </si>
  <si>
    <t xml:space="preserve">4. RISK MANAGEMENT</t>
  </si>
  <si>
    <t xml:space="preserve">Underwriting tightening (% cut in new slippage)</t>
  </si>
  <si>
    <t xml:space="preserve">Lower cut-offs, bureau + bank-statement checks, sector caps</t>
  </si>
  <si>
    <t xml:space="preserve">Collections &amp; early-warning spend (₹ cr)</t>
  </si>
  <si>
    <t xml:space="preserve">Early-warning signals, restructuring desks, field collections</t>
  </si>
  <si>
    <t xml:space="preserve">Target provision coverage ratio (PCR)</t>
  </si>
  <si>
    <t xml:space="preserve">Build coverage as NPAs rise</t>
  </si>
  <si>
    <t xml:space="preserve">Contingency provision: add / (release) (₹ cr)</t>
  </si>
  <si>
    <t xml:space="preserve">Use part of the ₹13,100 cr buffer at the peak – that is what it was built for</t>
  </si>
  <si>
    <t xml:space="preserve">Core operating-cost growth (quarterly)</t>
  </si>
  <si>
    <t xml:space="preserve">Defer branch openings and hiring; protect technology</t>
  </si>
  <si>
    <t xml:space="preserve">CAPITAL</t>
  </si>
  <si>
    <t xml:space="preserve">Dividend paid (₹ cr)</t>
  </si>
  <si>
    <t xml:space="preserve">Y1: FY26 ₹12/share already declared (≈714 cr shares); Y2: cut to ₹10/share to protect capital</t>
  </si>
  <si>
    <t xml:space="preserve">ICICI BANK | OPENING POSITION (ACTUALS)</t>
  </si>
  <si>
    <t xml:space="preserve">Standalone ₹ crore. FY25 and FY26 are reported figures (A) or derived from them (D); balance-sheet split marked E is an estimate that ties to reported totals.</t>
  </si>
  <si>
    <t xml:space="preserve">Line</t>
  </si>
  <si>
    <t xml:space="preserve">FY2025</t>
  </si>
  <si>
    <t xml:space="preserve">FY2026</t>
  </si>
  <si>
    <t xml:space="preserve">YoY %</t>
  </si>
  <si>
    <t xml:space="preserve">Basis</t>
  </si>
  <si>
    <t xml:space="preserve">PROFIT &amp; LOSS</t>
  </si>
  <si>
    <t xml:space="preserve">A – ICICI performance review FY25 / FY26</t>
  </si>
  <si>
    <t xml:space="preserve">Non-interest income (incl. treasury)</t>
  </si>
  <si>
    <t xml:space="preserve">D – PPOP + opex − NII</t>
  </si>
  <si>
    <t xml:space="preserve">Operating expenses</t>
  </si>
  <si>
    <t xml:space="preserve">A – results tables (Elite Wealth summary of filing)</t>
  </si>
  <si>
    <t xml:space="preserve">Pre-provision operating profit (PPOP)</t>
  </si>
  <si>
    <t xml:space="preserve">FY26 A; FY25 D = PBT + provisions</t>
  </si>
  <si>
    <t xml:space="preserve">Provisions &amp; contingencies</t>
  </si>
  <si>
    <t xml:space="preserve">A</t>
  </si>
  <si>
    <t xml:space="preserve">Profit before tax</t>
  </si>
  <si>
    <t xml:space="preserve">D</t>
  </si>
  <si>
    <t xml:space="preserve">Tax</t>
  </si>
  <si>
    <t xml:space="preserve">FY25 E at 24.5% effective; FY26 D</t>
  </si>
  <si>
    <t xml:space="preserve">A – ₹47,227 cr (FY25), ₹50,147 cr (FY26)</t>
  </si>
  <si>
    <t xml:space="preserve">BALANCE SHEET (31 March)</t>
  </si>
  <si>
    <t xml:space="preserve">Total assets</t>
  </si>
  <si>
    <t xml:space="preserve">A – standalone summary balance sheet</t>
  </si>
  <si>
    <t xml:space="preserve">ASSET QUALITY, CAPITAL &amp; FRANCHISE</t>
  </si>
  <si>
    <t xml:space="preserve">Provision coverage ratio</t>
  </si>
  <si>
    <t xml:space="preserve">Total capital adequacy (CRAR)</t>
  </si>
  <si>
    <t xml:space="preserve">A – regulatory minimum incl. buffers 11.70%</t>
  </si>
  <si>
    <t xml:space="preserve">A – regulatory minimum 8.20%</t>
  </si>
  <si>
    <t xml:space="preserve">A – reported NIM (Q4 FY26 4.32%)</t>
  </si>
  <si>
    <t xml:space="preserve">CASA ratio (period end)</t>
  </si>
  <si>
    <t xml:space="preserve">Contingency provisions held</t>
  </si>
  <si>
    <t xml:space="preserve">A – ₹131 bn (~0.9% of advances)</t>
  </si>
  <si>
    <t xml:space="preserve">Branches</t>
  </si>
  <si>
    <t xml:space="preserve">Dividend per share (₹)</t>
  </si>
  <si>
    <t xml:space="preserve">A – FY26 ₹12 recommended</t>
  </si>
  <si>
    <t xml:space="preserve">Latest real context (not used in the model): Q2 FY27 (Jul–Sep 2026) standalone PAT ₹14,843 cr, NII ₹25,339 cr, NIM 4.18%, GNPA 1.20%. The recession in this model is a hypothetical classroom scenario.</t>
  </si>
  <si>
    <t xml:space="preserve">LOAN BOOK &amp; INTEREST INCOME FROM ADVANCES</t>
  </si>
  <si>
    <t xml:space="preserve">Net advances by segment. Opening mix is an estimate (E) from ICICI segment disclosures (retail 50.4% of loans at Mar-26); total ties to reported ₹15,53,893 cr.</t>
  </si>
  <si>
    <t xml:space="preserve">Mar-26 / FY26 (A)</t>
  </si>
  <si>
    <t xml:space="preserve">CLOSING NET ADVANCES BY SEGMENT</t>
  </si>
  <si>
    <t xml:space="preserve">Opening = reported net advances × 38.4% (E); grows at Decisions row 6</t>
  </si>
  <si>
    <t xml:space="preserve">Unsecured retail (personal loans, cards)</t>
  </si>
  <si>
    <t xml:space="preserve">Opening = reported net advances × 12.0% (E); grows at Decisions row 7</t>
  </si>
  <si>
    <t xml:space="preserve">Opening = reported net advances × 19.4% (E); grows at Decisions row 8</t>
  </si>
  <si>
    <t xml:space="preserve">Opening = reported net advances × 5.8% (E); grows at Decisions row 9</t>
  </si>
  <si>
    <t xml:space="preserve">Opening = reported net advances × 24.4% (E); grows at Decisions row 10</t>
  </si>
  <si>
    <t xml:space="preserve">TOTAL NET ADVANCES</t>
  </si>
  <si>
    <t xml:space="preserve">Loan growth (quarterly / annual)</t>
  </si>
  <si>
    <t xml:space="preserve">Unsecured retail share of book</t>
  </si>
  <si>
    <t xml:space="preserve">AVERAGE BALANCES</t>
  </si>
  <si>
    <t xml:space="preserve">Avg – Secured retail (mortgages, auto, gold)</t>
  </si>
  <si>
    <t xml:space="preserve">Avg – Unsecured retail (personal loans, cards)</t>
  </si>
  <si>
    <t xml:space="preserve">Avg – Business banking &amp; SME</t>
  </si>
  <si>
    <t xml:space="preserve">Avg – Rural &amp; agri</t>
  </si>
  <si>
    <t xml:space="preserve">Avg – Corporate &amp; wholesale</t>
  </si>
  <si>
    <t xml:space="preserve">Average net advances</t>
  </si>
  <si>
    <t xml:space="preserve">LENDING YIELDS (ANNUAL)</t>
  </si>
  <si>
    <t xml:space="preserve">Yield – Secured retail (mortgages, auto, gold)</t>
  </si>
  <si>
    <t xml:space="preserve">Base yield 8.7% (E); floats with repo; + pricing decision</t>
  </si>
  <si>
    <t xml:space="preserve">Yield – Unsecured retail (personal loans, cards)</t>
  </si>
  <si>
    <t xml:space="preserve">Base yield 14.7% (E); fixed-rate; + pricing decision</t>
  </si>
  <si>
    <t xml:space="preserve">Yield – Business banking &amp; SME</t>
  </si>
  <si>
    <t xml:space="preserve">Base yield 9.7% (E); floats with repo; + pricing decision</t>
  </si>
  <si>
    <t xml:space="preserve">Yield – Rural &amp; agri</t>
  </si>
  <si>
    <t xml:space="preserve">Base yield 10.2% (E); floats with repo</t>
  </si>
  <si>
    <t xml:space="preserve">Yield – Corporate &amp; wholesale</t>
  </si>
  <si>
    <t xml:space="preserve">Base yield 7.7% (E); floats with repo</t>
  </si>
  <si>
    <t xml:space="preserve">Blended yield on advances</t>
  </si>
  <si>
    <t xml:space="preserve">INTEREST INCOME ON ADVANCES</t>
  </si>
  <si>
    <t xml:space="preserve">ASSET QUALITY, SLIPPAGES &amp; PROVISIONS</t>
  </si>
  <si>
    <t xml:space="preserve">Gross NPA roll-forward: opening + fresh slippages − recoveries/upgrades − write-offs. Provisions follow the coverage target and contingency decisions.</t>
  </si>
  <si>
    <t xml:space="preserve">FRESH SLIPPAGES BY SEGMENT</t>
  </si>
  <si>
    <t xml:space="preserve">Slippages – Secured retail (mortgages, auto, gold)</t>
  </si>
  <si>
    <t xml:space="preserve">Col C = normal annual slippage rate 1.0% (E)</t>
  </si>
  <si>
    <t xml:space="preserve">Slippages – Unsecured retail (personal loans, cards)</t>
  </si>
  <si>
    <t xml:space="preserve">Col C = normal annual slippage rate 4.0% (E)</t>
  </si>
  <si>
    <t xml:space="preserve">Slippages – Business banking &amp; SME</t>
  </si>
  <si>
    <t xml:space="preserve">Col C = normal annual slippage rate 2.0% (E)</t>
  </si>
  <si>
    <t xml:space="preserve">Slippages – Rural &amp; agri</t>
  </si>
  <si>
    <t xml:space="preserve">Col C = normal annual slippage rate 2.5% (E)</t>
  </si>
  <si>
    <t xml:space="preserve">Slippages – Corporate &amp; wholesale</t>
  </si>
  <si>
    <t xml:space="preserve">Col C = normal annual slippage rate 0.4% (E)</t>
  </si>
  <si>
    <t xml:space="preserve">TOTAL FRESH SLIPPAGES</t>
  </si>
  <si>
    <t xml:space="preserve">Slippage ratio (annualised, % of opening advances)</t>
  </si>
  <si>
    <t xml:space="preserve">GROSS NPA ROLL-FORWARD</t>
  </si>
  <si>
    <t xml:space="preserve">Opening gross NPA</t>
  </si>
  <si>
    <t xml:space="preserve">+ Fresh slippages</t>
  </si>
  <si>
    <t xml:space="preserve">− Recoveries &amp; upgrades</t>
  </si>
  <si>
    <t xml:space="preserve">Col C = normal 14% of opening GNPA per quarter (A: Q4 FY26 ₹3,068 cr on ~₹22,000 cr)</t>
  </si>
  <si>
    <t xml:space="preserve">− Write-offs</t>
  </si>
  <si>
    <t xml:space="preserve">Col C = 8% of opening GNPA per quarter (A: Q4 FY26 ₹1,768 cr)</t>
  </si>
  <si>
    <t xml:space="preserve">CLOSING GROSS NPA</t>
  </si>
  <si>
    <t xml:space="preserve">Opening = net advances × 1.40% ÷ (1 − 1.40% × PCR) (D); ties exactly to reported GNPA ratio</t>
  </si>
  <si>
    <t xml:space="preserve">PROVISION STOCK &amp; RATIOS</t>
  </si>
  <si>
    <t xml:space="preserve">Target PCR</t>
  </si>
  <si>
    <t xml:space="preserve">Specific provision stock</t>
  </si>
  <si>
    <t xml:space="preserve">Net NPA</t>
  </si>
  <si>
    <t xml:space="preserve">Gross advances (net + specific provisions)</t>
  </si>
  <si>
    <t xml:space="preserve">GROSS NPA RATIO</t>
  </si>
  <si>
    <t xml:space="preserve">NET NPA RATIO</t>
  </si>
  <si>
    <t xml:space="preserve">P&amp;L PROVISION CHARGE</t>
  </si>
  <si>
    <t xml:space="preserve">Specific provisions (Δ stock + write-offs)</t>
  </si>
  <si>
    <t xml:space="preserve">Standard-asset provisions (0.4% of net loan growth)</t>
  </si>
  <si>
    <t xml:space="preserve">Contingency provision add / (release)</t>
  </si>
  <si>
    <t xml:space="preserve">TOTAL PROVISIONS</t>
  </si>
  <si>
    <t xml:space="preserve">Contingency provision stock</t>
  </si>
  <si>
    <t xml:space="preserve">Credit cost (annualised, % of avg advances)</t>
  </si>
  <si>
    <t xml:space="preserve">EXPECTED LOSS (FOR RAROC)</t>
  </si>
  <si>
    <t xml:space="preserve">Expected loss – Secured retail (mortgages, auto, gold)</t>
  </si>
  <si>
    <t xml:space="preserve">EL = avg balance × PD × LGD; col C = LGD 25% (E)</t>
  </si>
  <si>
    <t xml:space="preserve">Expected loss – Unsecured retail (personal loans, cards)</t>
  </si>
  <si>
    <t xml:space="preserve">EL = avg balance × PD × LGD; col C = LGD 65% (E)</t>
  </si>
  <si>
    <t xml:space="preserve">Expected loss – Business banking &amp; SME</t>
  </si>
  <si>
    <t xml:space="preserve">EL = avg balance × PD × LGD; col C = LGD 40% (E)</t>
  </si>
  <si>
    <t xml:space="preserve">Expected loss – Rural &amp; agri</t>
  </si>
  <si>
    <t xml:space="preserve">EL = avg balance × PD × LGD; col C = LGD 45% (E)</t>
  </si>
  <si>
    <t xml:space="preserve">Expected loss – Corporate &amp; wholesale</t>
  </si>
  <si>
    <t xml:space="preserve">TOTAL EXPECTED LOSS</t>
  </si>
  <si>
    <t xml:space="preserve">DEPOSITS, CASA &amp; COST OF FUNDS</t>
  </si>
  <si>
    <t xml:space="preserve">Deposit growth = system growth + effect of our term-deposit premium and marketing. CASA ratio drifts with the market and our salary/current-account campaigns.</t>
  </si>
  <si>
    <t xml:space="preserve">Deposit growth (quarterly)</t>
  </si>
  <si>
    <t xml:space="preserve">TOTAL DEPOSITS</t>
  </si>
  <si>
    <t xml:space="preserve">CASA deposits</t>
  </si>
  <si>
    <t xml:space="preserve">Term deposits</t>
  </si>
  <si>
    <t xml:space="preserve">Average deposits</t>
  </si>
  <si>
    <t xml:space="preserve">CASA rate (annual)</t>
  </si>
  <si>
    <t xml:space="preserve">E – blended savings/current account cost</t>
  </si>
  <si>
    <t xml:space="preserve">Term-deposit rate (annual)</t>
  </si>
  <si>
    <t xml:space="preserve">E – includes our premium decision</t>
  </si>
  <si>
    <t xml:space="preserve">Cost of deposits</t>
  </si>
  <si>
    <t xml:space="preserve">INTEREST ON DEPOSITS</t>
  </si>
  <si>
    <t xml:space="preserve">Borrowings</t>
  </si>
  <si>
    <t xml:space="preserve">E – held flat; deposits fund growth</t>
  </si>
  <si>
    <t xml:space="preserve">Cost of borrowings</t>
  </si>
  <si>
    <t xml:space="preserve">INTEREST ON BORROWINGS</t>
  </si>
  <si>
    <t xml:space="preserve">PROFIT &amp; LOSS (QUARTERLY)</t>
  </si>
  <si>
    <t xml:space="preserve">FY26 column = ICICI reported standalone (A). Y1–Y2 = simulation (S).</t>
  </si>
  <si>
    <t xml:space="preserve">Interest on advances</t>
  </si>
  <si>
    <t xml:space="preserve">Interest on investments &amp; cash (on opening investments)</t>
  </si>
  <si>
    <t xml:space="preserve">TOTAL INTEREST EARNED</t>
  </si>
  <si>
    <t xml:space="preserve">Interest expended</t>
  </si>
  <si>
    <t xml:space="preserve">NET INTEREST INCOME</t>
  </si>
  <si>
    <t xml:space="preserve">FY26 A ₹88,075 cr</t>
  </si>
  <si>
    <t xml:space="preserve">Fee &amp; other income</t>
  </si>
  <si>
    <t xml:space="preserve">FY26 non-interest income less ~₹1,500 cr treasury (E); scales with fee activity and loan book</t>
  </si>
  <si>
    <t xml:space="preserve">Treasury gains / (losses)</t>
  </si>
  <si>
    <t xml:space="preserve">TOTAL OPERATING INCOME</t>
  </si>
  <si>
    <t xml:space="preserve">Core operating expenses</t>
  </si>
  <si>
    <t xml:space="preserve">Marketing, digital &amp; collections spend (incremental)</t>
  </si>
  <si>
    <t xml:space="preserve">TOTAL OPERATING EXPENSES</t>
  </si>
  <si>
    <t xml:space="preserve">PRE-PROVISION OPERATING PROFIT</t>
  </si>
  <si>
    <t xml:space="preserve">FY26 A ₹5,380 cr</t>
  </si>
  <si>
    <t xml:space="preserve">PROFIT BEFORE TAX</t>
  </si>
  <si>
    <t xml:space="preserve">NET PROFIT (PAT)</t>
  </si>
  <si>
    <t xml:space="preserve">FY26 A ₹50,147 cr</t>
  </si>
  <si>
    <t xml:space="preserve">KEY P&amp;L RATIOS</t>
  </si>
  <si>
    <t xml:space="preserve">Net interest margin (annualised, on avg earning assets)</t>
  </si>
  <si>
    <t xml:space="preserve">Cost-to-income ratio</t>
  </si>
  <si>
    <t xml:space="preserve">Return on assets (annualised)</t>
  </si>
  <si>
    <t xml:space="preserve">Return on equity (annualised)</t>
  </si>
  <si>
    <t xml:space="preserve">FY26 opening equity ≈ closing − PAT + FY25 dividend paid (₹11 × ~714 cr shares)</t>
  </si>
  <si>
    <t xml:space="preserve">Fee &amp; other income ÷ operating income</t>
  </si>
  <si>
    <t xml:space="preserve">BALANCE SHEET (QUARTER-END)</t>
  </si>
  <si>
    <t xml:space="preserve">Investments are the balancing asset (surplus funds go to government securities). Equity rolls forward: opening + PAT − dividend.</t>
  </si>
  <si>
    <t xml:space="preserve">LIABILITIES &amp; EQUITY</t>
  </si>
  <si>
    <t xml:space="preserve">Other liabilities (excl. contingency provisions)</t>
  </si>
  <si>
    <t xml:space="preserve">Opening D = reported total − other lines; held flat</t>
  </si>
  <si>
    <t xml:space="preserve">Contingency provisions</t>
  </si>
  <si>
    <t xml:space="preserve">Net worth (capital + reserves)</t>
  </si>
  <si>
    <t xml:space="preserve">Opening E ≈ FY25 net worth + FY26 PAT − FY25 dividend; consistent with CET-1 16.35%</t>
  </si>
  <si>
    <t xml:space="preserve">TOTAL LIABILITIES &amp; EQUITY</t>
  </si>
  <si>
    <t xml:space="preserve">ASSETS</t>
  </si>
  <si>
    <t xml:space="preserve">Cash &amp; balances with RBI and banks (7.5% of deposits)</t>
  </si>
  <si>
    <t xml:space="preserve">E – CRR 3% + operating liquidity</t>
  </si>
  <si>
    <t xml:space="preserve">Investments (balancing item)</t>
  </si>
  <si>
    <t xml:space="preserve">Fixed assets</t>
  </si>
  <si>
    <t xml:space="preserve">E – slower branch build-out</t>
  </si>
  <si>
    <t xml:space="preserve">Other assets</t>
  </si>
  <si>
    <t xml:space="preserve">TOTAL ASSETS</t>
  </si>
  <si>
    <t xml:space="preserve">Balance check (should be 0)</t>
  </si>
  <si>
    <t xml:space="preserve">LIQUIDITY</t>
  </si>
  <si>
    <t xml:space="preserve">Investments ÷ deposits (SLR headroom; min 18%)</t>
  </si>
  <si>
    <t xml:space="preserve">Liquid assets ÷ total assets</t>
  </si>
  <si>
    <t xml:space="preserve">Investment yield (annual)</t>
  </si>
  <si>
    <t xml:space="preserve">Average investments</t>
  </si>
  <si>
    <t xml:space="preserve">CAPITAL ADEQUACY &amp; RISK-ADJUSTED RETURN ON CAPITAL (RAROC)</t>
  </si>
  <si>
    <t xml:space="preserve">RAROC = (PPOP − expected loss) × (1 − tax) ÷ economic capital. Economic capital = RWA × 12%. Hurdle = 14% cost of equity.</t>
  </si>
  <si>
    <t xml:space="preserve">RISK-WEIGHTED ASSETS</t>
  </si>
  <si>
    <t xml:space="preserve">RWA – Secured retail (mortgages, auto, gold)</t>
  </si>
  <si>
    <t xml:space="preserve">Col C = risk weight 60% (E, RBI standardised approach)</t>
  </si>
  <si>
    <t xml:space="preserve">RWA – Unsecured retail (personal loans, cards)</t>
  </si>
  <si>
    <t xml:space="preserve">Col C = risk weight 125% (E, RBI standardised approach)</t>
  </si>
  <si>
    <t xml:space="preserve">RWA – Business banking &amp; SME</t>
  </si>
  <si>
    <t xml:space="preserve">Col C = risk weight 85% (E, RBI standardised approach)</t>
  </si>
  <si>
    <t xml:space="preserve">RWA – Rural &amp; agri</t>
  </si>
  <si>
    <t xml:space="preserve">Col C = risk weight 90% (E, RBI standardised approach)</t>
  </si>
  <si>
    <t xml:space="preserve">RWA – Corporate &amp; wholesale</t>
  </si>
  <si>
    <t xml:space="preserve">Col C = risk weight 70% (E, RBI standardised approach)</t>
  </si>
  <si>
    <t xml:space="preserve">RWA – investments (15%) and other &amp; fixed assets (100%)</t>
  </si>
  <si>
    <t xml:space="preserve">Credit RWA</t>
  </si>
  <si>
    <t xml:space="preserve">Operational &amp; market risk RWA (% of credit RWA, calibrated)</t>
  </si>
  <si>
    <t xml:space="preserve">Col C calibrated so that opening CET-1 = reported 16.35% (D)</t>
  </si>
  <si>
    <t xml:space="preserve">TOTAL RWA</t>
  </si>
  <si>
    <t xml:space="preserve">CET-1 capital (net worth − 3% deductions)</t>
  </si>
  <si>
    <t xml:space="preserve">Tier-2 capital</t>
  </si>
  <si>
    <t xml:space="preserve">Opening = (CRAR − CET-1) × RWA (D); held flat</t>
  </si>
  <si>
    <t xml:space="preserve">CET-1 RATIO</t>
  </si>
  <si>
    <t xml:space="preserve">TOTAL CAPITAL ADEQUACY (CRAR)</t>
  </si>
  <si>
    <t xml:space="preserve">Regulatory minimum CRAR incl. buffers</t>
  </si>
  <si>
    <t xml:space="preserve">A – ICICI disclosed requirement 11.70%</t>
  </si>
  <si>
    <t xml:space="preserve">Headroom over minimum (pp)</t>
  </si>
  <si>
    <t xml:space="preserve">− Expected loss</t>
  </si>
  <si>
    <t xml:space="preserve">Risk-adjusted profit after tax</t>
  </si>
  <si>
    <t xml:space="preserve">Economic capital ratio</t>
  </si>
  <si>
    <t xml:space="preserve">E – internal capital allocated per ₹ of RWA</t>
  </si>
  <si>
    <t xml:space="preserve">Economic capital</t>
  </si>
  <si>
    <t xml:space="preserve">RAROC (annualised)</t>
  </si>
  <si>
    <t xml:space="preserve">Hurdle rate (cost of equity)</t>
  </si>
  <si>
    <t xml:space="preserve">E – ICICI cost of equity ~13–14%</t>
  </si>
  <si>
    <t xml:space="preserve">RAROC spread over hurdle (pp)</t>
  </si>
  <si>
    <t xml:space="preserve">SEGMENT RAROC | WHERE DOES EACH ₹ OF CAPITAL EARN THE MOST?</t>
  </si>
  <si>
    <t xml:space="preserve">Annual view at peak stress (Y1 Q4 conditions) vs normal (FY26). Drives the capital-allocation decision on the Decisions sheet.</t>
  </si>
  <si>
    <t xml:space="preserve">Segment</t>
  </si>
  <si>
    <t xml:space="preserve">Yield</t>
  </si>
  <si>
    <t xml:space="preserve">Funds cost (FTP)</t>
  </si>
  <si>
    <t xml:space="preserve">Fee yield</t>
  </si>
  <si>
    <t xml:space="preserve">Opex %</t>
  </si>
  <si>
    <t xml:space="preserve">PD normal</t>
  </si>
  <si>
    <t xml:space="preserve">LGD</t>
  </si>
  <si>
    <t xml:space="preserve">Risk weight</t>
  </si>
  <si>
    <t xml:space="preserve">RAROC normal</t>
  </si>
  <si>
    <t xml:space="preserve">PD stress</t>
  </si>
  <si>
    <t xml:space="preserve">RAROC stress</t>
  </si>
  <si>
    <t xml:space="preserve">vs 14% hurdle</t>
  </si>
  <si>
    <t xml:space="preserve">Formula: [yield − funds-transfer price + fee yield − opex − PD × LGD] × (1 − tax) ÷ [risk weight × 12% × (1 + op-risk load)]. Stress uses Y1 Q4 default multiplier after our underwriting tightening.</t>
  </si>
  <si>
    <t xml:space="preserve">MARKET SHARE (% OF TOTAL INDIAN BANKING MARKET)</t>
  </si>
  <si>
    <t xml:space="preserve">System totals grow with the Market sheet; ICICI balances come from the model.</t>
  </si>
  <si>
    <t xml:space="preserve">Mar-26 (A/E)</t>
  </si>
  <si>
    <t xml:space="preserve">System deposits (₹ cr)</t>
  </si>
  <si>
    <t xml:space="preserve">ICICI deposits (₹ cr)</t>
  </si>
  <si>
    <t xml:space="preserve">ICICI DEPOSIT MARKET SHARE</t>
  </si>
  <si>
    <t xml:space="preserve">System bank credit (₹ cr)</t>
  </si>
  <si>
    <t xml:space="preserve">ICICI gross advances (₹ cr)</t>
  </si>
  <si>
    <t xml:space="preserve">ICICI CREDIT MARKET SHARE</t>
  </si>
  <si>
    <t xml:space="preserve">Change in deposit share since opening (bp)</t>
  </si>
  <si>
    <t xml:space="preserve">Change in credit share since opening (bp)</t>
  </si>
  <si>
    <t xml:space="preserve">CUSTOMER SATISFACTION | SIMULATED QUARTERLY SURVEY</t>
  </si>
  <si>
    <t xml:space="preserve">SIMULATED responses (n = 50 per round) generated from our decisions and the recession conditions, as the brief allows. Replace the count tables with real Google-Form responses if you run the survey.</t>
  </si>
  <si>
    <t xml:space="preserve">Question / score</t>
  </si>
  <si>
    <t xml:space="preserve">Q1. How safe do you feel keeping your money with ICICI Bank?</t>
  </si>
  <si>
    <t xml:space="preserve">   responses scoring 1</t>
  </si>
  <si>
    <t xml:space="preserve">   responses scoring 2</t>
  </si>
  <si>
    <t xml:space="preserve">   responses scoring 3</t>
  </si>
  <si>
    <t xml:space="preserve">   responses scoring 4</t>
  </si>
  <si>
    <t xml:space="preserve">   responses scoring 5</t>
  </si>
  <si>
    <t xml:space="preserve">   Average score (out of 5)</t>
  </si>
  <si>
    <t xml:space="preserve">Q2. Are our loan and deposit rates fair and clearly explained?</t>
  </si>
  <si>
    <t xml:space="preserve">Q3. If you faced repayment difficulty, did we offer practical support?</t>
  </si>
  <si>
    <t xml:space="preserve">Q4. How easy is it to get a service issue resolved (app / branch / call)?</t>
  </si>
  <si>
    <t xml:space="preserve">Q5. How likely are you to recommend ICICI Bank? (0–10 → NPS)</t>
  </si>
  <si>
    <t xml:space="preserve">   Promoters (9–10)</t>
  </si>
  <si>
    <t xml:space="preserve">   Passives (7–8)</t>
  </si>
  <si>
    <t xml:space="preserve">   Detractors (0–6)</t>
  </si>
  <si>
    <t xml:space="preserve">   Net Promoter Score (promoters % − detractors %)</t>
  </si>
  <si>
    <t xml:space="preserve">CUSTOMER SATISFACTION INDEX (avg of Q1–Q4 ÷ 5)</t>
  </si>
  <si>
    <t xml:space="preserve">Overall average score (out of 5)</t>
  </si>
  <si>
    <t xml:space="preserve">How the simulated scores were generated</t>
  </si>
  <si>
    <t xml:space="preserve">Q1 safety: starts at 4.45, falls 0.10 per unit of default stress, rises with marketing ('safe bank' messaging).</t>
  </si>
  <si>
    <t xml:space="preserve">Q2 fairness: falls 0.04 per 10 bp of risk premium we charge and with stress.</t>
  </si>
  <si>
    <t xml:space="preserve">Q3 hardship support: rises with collections/restructuring and digital EMI-relief spend; falls most with stress.</t>
  </si>
  <si>
    <t xml:space="preserve">Q4 service: rises with digital &amp; customer-support investment.</t>
  </si>
  <si>
    <t xml:space="preserve">Q5 NPS: driven by stress, marketing and digital spend. 50 responses per round; seeded so results are reproducible.</t>
  </si>
  <si>
    <t xml:space="preserve">QUESTIONNAIRE TO CIRCULATE (Google Form)</t>
  </si>
  <si>
    <t xml:space="preserve">Q6. Which ICICI service do you use most? (Savings / Credit card / Home loan / Personal loan / Business account / iMobile)</t>
  </si>
  <si>
    <t xml:space="preserve">Q7. In the last 3 months, did a recession-related worry change how you bank? (Moved money to FD / Paused loan / No change)</t>
  </si>
  <si>
    <t xml:space="preserve">Q8. One thing ICICI Bank should improve (free text)</t>
  </si>
  <si>
    <t xml:space="preserve">SOURCES &amp; DATA BASIS</t>
  </si>
  <si>
    <t xml:space="preserve">Source</t>
  </si>
  <si>
    <t xml:space="preserve">Used for</t>
  </si>
  <si>
    <t xml:space="preserve">Status</t>
  </si>
  <si>
    <t xml:space="preserve">ICICI Bank – Performance Review, quarter ended 31 March 2026 (icici.bank.in news room)</t>
  </si>
  <si>
    <t xml:space="preserve">FY26 PAT ₹50,147 cr, NII ₹88,075 cr, deposits ₹17,94,625 cr, advances ₹15,53,893 cr, total assets ₹23,72,531 cr, GNPA 1.40%, NNPA 0.33%, PCR 75.8%, CRAR 17.18%, CET-1 16.35%</t>
  </si>
  <si>
    <t xml:space="preserve">Primary</t>
  </si>
  <si>
    <t xml:space="preserve">ICICI Bank Form 6-K, FY2026 results (SEC EDGAR, Apr 2026)</t>
  </si>
  <si>
    <t xml:space="preserve">FY26 results, ₹12 dividend, contingency provision ₹13,100 cr</t>
  </si>
  <si>
    <t xml:space="preserve">ICICI Bank Q4 FY26 earnings call / investor slides (Apr 2026) – Investing.com, Yahoo Finance summaries</t>
  </si>
  <si>
    <t xml:space="preserve">Segment growth (retail 50.4% of loans, business banking +24.4%), CASA 41.4%, branches 7,511, slippages/recoveries/write-offs</t>
  </si>
  <si>
    <t xml:space="preserve">Secondary</t>
  </si>
  <si>
    <t xml:space="preserve">Elite Wealth – ICICI Bank Q4 FY26 result analysis</t>
  </si>
  <si>
    <t xml:space="preserve">FY26 opex ₹47,234 cr, provisions ₹5,380 cr, PPOP ₹71,599 cr; FY25 opex ₹42,372 cr</t>
  </si>
  <si>
    <t xml:space="preserve">ICICI Bank FY25 results (Apr 2025) – Business Standard coverage</t>
  </si>
  <si>
    <t xml:space="preserve">FY25 PAT ₹47,227 cr, deposits ₹16,10,348 cr, advances ₹13,41,766 cr, GNPA 1.67%, NNPA 0.39%, CRAR 16.55%</t>
  </si>
  <si>
    <t xml:space="preserve">ICICI Bank Q2 FY27 results (17 Oct 2026) – Business Standard</t>
  </si>
  <si>
    <t xml:space="preserve">Real context only: PAT ₹14,843 cr, NIM 4.18%, GNPA 1.20%</t>
  </si>
  <si>
    <t xml:space="preserve">RBI – Scheduled Commercial Banks statement, 31 Mar 2026</t>
  </si>
  <si>
    <t xml:space="preserve">System deposits ₹2,62,29,916 cr (market share denominator)</t>
  </si>
  <si>
    <t xml:space="preserve">RBI Basel III master circular</t>
  </si>
  <si>
    <t xml:space="preserve">Risk weights, CRAR 11.7% incl. buffers (ICICI-specific), CET-1 8.2%</t>
  </si>
  <si>
    <t xml:space="preserve">Regulatory</t>
  </si>
  <si>
    <t xml:space="preserve">Recession scenario, decisions, survey responses</t>
  </si>
  <si>
    <t xml:space="preserve">All simulation-period figures</t>
  </si>
  <si>
    <t xml:space="preserve">FICTIONAL simulation – never ICICI actuals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</si>
</sst>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+0.0%;\-0.0%;0.0%"/>
    <numFmt numFmtId="167" formatCode="0.00%;\(0.00%\);\-"/>
    <numFmt numFmtId="168" formatCode="\+0&quot; bp&quot;;\-0&quot; bp&quot;;0&quot; bp&quot;"/>
    <numFmt numFmtId="169" formatCode="0.0%;\(0.0%\);\-"/>
    <numFmt numFmtId="170" formatCode="0"/>
    <numFmt numFmtId="171" formatCode="0.00"/>
    <numFmt numFmtId="172" formatCode="0.00\x"/>
    <numFmt numFmtId="173" formatCode="0&quot; bp&quot;;\(0&quot; bp)&quot;"/>
    <numFmt numFmtId="174" formatCode="\+0;\-0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A1F2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7A1F2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7A1F2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E87722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7A1F2B"/>
        <bgColor rgb="FF800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87722"/>
      <rgbColor rgb="FF59595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23.85" hidden="false" customHeight="false" outlineLevel="0" collapsed="false">
      <c r="B5" s="5" t="s">
        <v>3</v>
      </c>
      <c r="C5" s="4" t="s">
        <v>4</v>
      </c>
    </row>
    <row r="6" customFormat="false" ht="23.85" hidden="false" customHeight="false" outlineLevel="0" collapsed="false">
      <c r="B6" s="5" t="s">
        <v>5</v>
      </c>
      <c r="C6" s="4" t="s">
        <v>6</v>
      </c>
    </row>
    <row r="7" customFormat="false" ht="23.85" hidden="false" customHeight="false" outlineLevel="0" collapsed="false">
      <c r="B7" s="5" t="s">
        <v>7</v>
      </c>
      <c r="C7" s="4" t="s">
        <v>8</v>
      </c>
    </row>
    <row r="8" customFormat="false" ht="23.85" hidden="false" customHeight="false" outlineLevel="0" collapsed="false">
      <c r="B8" s="5" t="s">
        <v>9</v>
      </c>
      <c r="C8" s="4" t="s">
        <v>10</v>
      </c>
    </row>
    <row r="9" customFormat="false" ht="15" hidden="false" customHeight="false" outlineLevel="0" collapsed="false">
      <c r="B9" s="5" t="s">
        <v>11</v>
      </c>
      <c r="C9" s="4" t="s">
        <v>12</v>
      </c>
    </row>
    <row r="10" customFormat="false" ht="15" hidden="false" customHeight="false" outlineLevel="0" collapsed="false">
      <c r="B10" s="6"/>
      <c r="C10" s="4"/>
    </row>
    <row r="11" customFormat="false" ht="15" hidden="false" customHeight="false" outlineLevel="0" collapsed="false">
      <c r="B11" s="3" t="s">
        <v>13</v>
      </c>
      <c r="C11" s="4"/>
    </row>
    <row r="12" customFormat="false" ht="15" hidden="false" customHeight="false" outlineLevel="0" collapsed="false">
      <c r="B12" s="7" t="s">
        <v>14</v>
      </c>
      <c r="C12" s="4" t="s">
        <v>15</v>
      </c>
    </row>
    <row r="13" customFormat="false" ht="15" hidden="false" customHeight="false" outlineLevel="0" collapsed="false">
      <c r="B13" s="8" t="s">
        <v>16</v>
      </c>
      <c r="C13" s="4" t="s">
        <v>17</v>
      </c>
    </row>
    <row r="14" customFormat="false" ht="15" hidden="false" customHeight="false" outlineLevel="0" collapsed="false">
      <c r="B14" s="5" t="s">
        <v>18</v>
      </c>
      <c r="C14" s="4" t="s">
        <v>19</v>
      </c>
    </row>
    <row r="15" customFormat="false" ht="15" hidden="false" customHeight="false" outlineLevel="0" collapsed="false">
      <c r="B15" s="6"/>
      <c r="C15" s="4"/>
    </row>
    <row r="16" customFormat="false" ht="15" hidden="false" customHeight="false" outlineLevel="0" collapsed="false">
      <c r="B16" s="3" t="s">
        <v>20</v>
      </c>
      <c r="C16" s="4"/>
    </row>
    <row r="17" customFormat="false" ht="15" hidden="false" customHeight="false" outlineLevel="0" collapsed="false">
      <c r="B17" s="5" t="s">
        <v>21</v>
      </c>
      <c r="C17" s="4" t="s">
        <v>22</v>
      </c>
    </row>
    <row r="18" customFormat="false" ht="15" hidden="false" customHeight="false" outlineLevel="0" collapsed="false">
      <c r="B18" s="5" t="s">
        <v>23</v>
      </c>
      <c r="C18" s="4" t="s">
        <v>24</v>
      </c>
    </row>
    <row r="19" customFormat="false" ht="15" hidden="false" customHeight="false" outlineLevel="0" collapsed="false">
      <c r="B19" s="5" t="s">
        <v>25</v>
      </c>
      <c r="C19" s="4" t="s">
        <v>26</v>
      </c>
    </row>
    <row r="20" customFormat="false" ht="15" hidden="false" customHeight="false" outlineLevel="0" collapsed="false">
      <c r="B20" s="6"/>
      <c r="C20" s="4"/>
    </row>
    <row r="21" customFormat="false" ht="23.85" hidden="false" customHeight="false" outlineLevel="0" collapsed="false">
      <c r="B21" s="5" t="s">
        <v>27</v>
      </c>
      <c r="C21" s="4" t="s">
        <v>28</v>
      </c>
    </row>
    <row r="22" customFormat="false" ht="15" hidden="false" customHeight="false" outlineLevel="0" collapsed="false">
      <c r="B22" s="5" t="s">
        <v>29</v>
      </c>
      <c r="C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3" min="9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31</v>
      </c>
    </row>
    <row r="2" customFormat="false" ht="15" hidden="false" customHeight="false" outlineLevel="0" collapsed="false">
      <c r="A2" s="10" t="s">
        <v>32</v>
      </c>
    </row>
    <row r="4" customFormat="false" ht="15" hidden="false" customHeight="false" outlineLevel="0" collapsed="false">
      <c r="B4" s="11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2" t="s">
        <v>38</v>
      </c>
      <c r="H4" s="12" t="s">
        <v>39</v>
      </c>
    </row>
    <row r="5" customFormat="false" ht="15" hidden="false" customHeight="false" outlineLevel="0" collapsed="false">
      <c r="B5" s="13" t="s">
        <v>40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41</v>
      </c>
      <c r="C6" s="16" t="n">
        <f aca="false">Baseline!C6</f>
        <v>81164</v>
      </c>
      <c r="D6" s="16" t="n">
        <f aca="false">Baseline!D6</f>
        <v>88075</v>
      </c>
      <c r="E6" s="16" t="n">
        <f aca="false">'P&amp;L'!L9</f>
        <v>91700.0347335251</v>
      </c>
      <c r="F6" s="16" t="n">
        <f aca="false">'P&amp;L'!M9</f>
        <v>95855.5175285977</v>
      </c>
      <c r="G6" s="17" t="n">
        <f aca="false">IFERROR(F6/D6-1,"")</f>
        <v>0.0883396824138256</v>
      </c>
      <c r="H6" s="18"/>
    </row>
    <row r="7" customFormat="false" ht="15" hidden="false" customHeight="false" outlineLevel="0" collapsed="false">
      <c r="B7" s="15" t="s">
        <v>42</v>
      </c>
      <c r="C7" s="16" t="n">
        <f aca="false">Baseline!C9</f>
        <v>67235.3178807947</v>
      </c>
      <c r="D7" s="16" t="n">
        <f aca="false">Baseline!D9</f>
        <v>71599</v>
      </c>
      <c r="E7" s="16" t="n">
        <f aca="false">'P&amp;L'!L16</f>
        <v>70067.7910559663</v>
      </c>
      <c r="F7" s="16" t="n">
        <f aca="false">'P&amp;L'!M16</f>
        <v>73105.0012195499</v>
      </c>
      <c r="G7" s="17" t="n">
        <f aca="false">IFERROR(F7/D7-1,"")</f>
        <v>0.0210338303544726</v>
      </c>
      <c r="H7" s="18"/>
    </row>
    <row r="8" customFormat="false" ht="15" hidden="false" customHeight="false" outlineLevel="0" collapsed="false">
      <c r="B8" s="15" t="s">
        <v>43</v>
      </c>
      <c r="C8" s="16" t="n">
        <f aca="false">Baseline!C10</f>
        <v>4683</v>
      </c>
      <c r="D8" s="16" t="n">
        <f aca="false">Baseline!D10</f>
        <v>5380</v>
      </c>
      <c r="E8" s="16" t="n">
        <f aca="false">'P&amp;L'!L17</f>
        <v>25351.5152614395</v>
      </c>
      <c r="F8" s="16" t="n">
        <f aca="false">'P&amp;L'!M17</f>
        <v>16259.7862078152</v>
      </c>
      <c r="G8" s="17" t="n">
        <f aca="false">IFERROR(F8/D8-1,"")</f>
        <v>2.02226509438944</v>
      </c>
      <c r="H8" s="18"/>
    </row>
    <row r="9" customFormat="false" ht="15" hidden="false" customHeight="false" outlineLevel="0" collapsed="false">
      <c r="B9" s="15" t="s">
        <v>44</v>
      </c>
      <c r="C9" s="16" t="n">
        <f aca="false">Baseline!C13</f>
        <v>47227</v>
      </c>
      <c r="D9" s="16" t="n">
        <f aca="false">Baseline!D13</f>
        <v>50147</v>
      </c>
      <c r="E9" s="16" t="n">
        <f aca="false">'P&amp;L'!L21</f>
        <v>33461.1891770444</v>
      </c>
      <c r="F9" s="16" t="n">
        <f aca="false">'P&amp;L'!M21</f>
        <v>42537.2743932811</v>
      </c>
      <c r="G9" s="17" t="n">
        <f aca="false">IFERROR(F9/D9-1,"")</f>
        <v>-0.151748371920931</v>
      </c>
      <c r="H9" s="18"/>
    </row>
    <row r="10" customFormat="false" ht="15" hidden="false" customHeight="false" outlineLevel="0" collapsed="false">
      <c r="B10" s="15" t="s">
        <v>45</v>
      </c>
      <c r="C10" s="19"/>
      <c r="D10" s="20" t="n">
        <f aca="false">'P&amp;L'!C25</f>
        <v>0.0223333587929556</v>
      </c>
      <c r="E10" s="20" t="n">
        <f aca="false">'P&amp;L'!L25</f>
        <v>0.0135266059061722</v>
      </c>
      <c r="F10" s="20" t="n">
        <f aca="false">'P&amp;L'!M25</f>
        <v>0.0157681832267234</v>
      </c>
      <c r="G10" s="21" t="n">
        <f aca="false">IFERROR((F10-D10)*10000,"")</f>
        <v>-65.651755662322</v>
      </c>
      <c r="H10" s="18"/>
    </row>
    <row r="11" customFormat="false" ht="15" hidden="false" customHeight="false" outlineLevel="0" collapsed="false">
      <c r="B11" s="15" t="s">
        <v>46</v>
      </c>
      <c r="C11" s="19"/>
      <c r="D11" s="20" t="n">
        <f aca="false">'P&amp;L'!C26</f>
        <v>0.151432199461576</v>
      </c>
      <c r="E11" s="20" t="n">
        <f aca="false">'P&amp;L'!L26</f>
        <v>0.0917381811742275</v>
      </c>
      <c r="F11" s="20" t="n">
        <f aca="false">'P&amp;L'!M26</f>
        <v>0.107718801839743</v>
      </c>
      <c r="G11" s="21" t="n">
        <f aca="false">IFERROR((F11-D11)*10000,"")</f>
        <v>-437.13397621833</v>
      </c>
      <c r="H11" s="18"/>
    </row>
    <row r="12" customFormat="false" ht="15" hidden="false" customHeight="false" outlineLevel="0" collapsed="false">
      <c r="B12" s="15" t="s">
        <v>47</v>
      </c>
      <c r="C12" s="20" t="n">
        <f aca="false">Baseline!C24</f>
        <v>0.0432</v>
      </c>
      <c r="D12" s="20" t="n">
        <f aca="false">'P&amp;L'!C23</f>
        <v>0.0396996931753489</v>
      </c>
      <c r="E12" s="20" t="n">
        <f aca="false">'P&amp;L'!L23</f>
        <v>0.0394902626456906</v>
      </c>
      <c r="F12" s="20" t="n">
        <f aca="false">'P&amp;L'!M23</f>
        <v>0.0378184355969388</v>
      </c>
      <c r="G12" s="21" t="n">
        <f aca="false">IFERROR((F12-D12)*10000,"")</f>
        <v>-18.8125757841012</v>
      </c>
      <c r="H12" s="18" t="s">
        <v>48</v>
      </c>
    </row>
    <row r="13" customFormat="false" ht="15" hidden="false" customHeight="false" outlineLevel="0" collapsed="false">
      <c r="B13" s="15" t="s">
        <v>49</v>
      </c>
      <c r="C13" s="22" t="n">
        <f aca="false">Baseline!C8/(Baseline!C6+Baseline!C7)</f>
        <v>0.38658002785984</v>
      </c>
      <c r="D13" s="22" t="n">
        <f aca="false">'P&amp;L'!C24</f>
        <v>0.397482180875683</v>
      </c>
      <c r="E13" s="22" t="n">
        <f aca="false">'P&amp;L'!L24</f>
        <v>0.423081278768229</v>
      </c>
      <c r="F13" s="22" t="n">
        <f aca="false">'P&amp;L'!M24</f>
        <v>0.419636796267691</v>
      </c>
      <c r="G13" s="21" t="n">
        <f aca="false">IFERROR((F13-D13)*10000,"")</f>
        <v>221.54615392008</v>
      </c>
      <c r="H13" s="18"/>
    </row>
    <row r="14" customFormat="false" ht="15" hidden="false" customHeight="false" outlineLevel="0" collapsed="false">
      <c r="B14" s="13" t="s">
        <v>50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15" hidden="false" customHeight="false" outlineLevel="0" collapsed="false">
      <c r="B15" s="15" t="s">
        <v>51</v>
      </c>
      <c r="C15" s="19"/>
      <c r="D15" s="22" t="n">
        <f aca="false">Capital_RAROC!C28</f>
        <v>0.182445047450527</v>
      </c>
      <c r="E15" s="22" t="n">
        <f aca="false">Capital_RAROC!L28</f>
        <v>0.143704862856898</v>
      </c>
      <c r="F15" s="22" t="n">
        <f aca="false">Capital_RAROC!M28</f>
        <v>0.150896501470108</v>
      </c>
      <c r="G15" s="21" t="n">
        <f aca="false">IFERROR((F15-D15)*10000,"")</f>
        <v>-315.485459804195</v>
      </c>
      <c r="H15" s="18" t="s">
        <v>52</v>
      </c>
    </row>
    <row r="16" customFormat="false" ht="15" hidden="false" customHeight="false" outlineLevel="0" collapsed="false">
      <c r="B16" s="15" t="s">
        <v>53</v>
      </c>
      <c r="C16" s="19"/>
      <c r="D16" s="16" t="n">
        <f aca="false">Capital_RAROC!C31</f>
        <v>10645.7163378467</v>
      </c>
      <c r="E16" s="16" t="n">
        <f aca="false">Capital_RAROC!L31</f>
        <v>955.497181233047</v>
      </c>
      <c r="F16" s="16" t="n">
        <f aca="false">Capital_RAROC!M31</f>
        <v>2954.06503066739</v>
      </c>
      <c r="G16" s="17" t="n">
        <f aca="false">IFERROR(F16/D16-1,"")</f>
        <v>-0.72251138984745</v>
      </c>
      <c r="H16" s="18"/>
    </row>
    <row r="17" customFormat="false" ht="15" hidden="false" customHeight="false" outlineLevel="0" collapsed="false">
      <c r="B17" s="13" t="s">
        <v>54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15" hidden="false" customHeight="false" outlineLevel="0" collapsed="false">
      <c r="B18" s="15" t="s">
        <v>55</v>
      </c>
      <c r="C18" s="20" t="n">
        <f aca="false">Baseline!C19</f>
        <v>0.0167</v>
      </c>
      <c r="D18" s="20" t="n">
        <f aca="false">NPA_Provisions!C24</f>
        <v>0.014</v>
      </c>
      <c r="E18" s="20" t="n">
        <f aca="false">NPA_Provisions!L24</f>
        <v>0.0273837465492029</v>
      </c>
      <c r="F18" s="20" t="n">
        <f aca="false">NPA_Provisions!M24</f>
        <v>0.0259093686890011</v>
      </c>
      <c r="G18" s="21" t="n">
        <f aca="false">IFERROR((F18-D18)*10000,"")</f>
        <v>119.093686890011</v>
      </c>
      <c r="H18" s="18"/>
    </row>
    <row r="19" customFormat="false" ht="15" hidden="false" customHeight="false" outlineLevel="0" collapsed="false">
      <c r="B19" s="15" t="s">
        <v>56</v>
      </c>
      <c r="C19" s="20" t="n">
        <f aca="false">Baseline!C20</f>
        <v>0.0039</v>
      </c>
      <c r="D19" s="20" t="n">
        <f aca="false">NPA_Provisions!C25</f>
        <v>0.00342433908638472</v>
      </c>
      <c r="E19" s="20" t="n">
        <f aca="false">NPA_Provisions!L25</f>
        <v>0.00615591031330804</v>
      </c>
      <c r="F19" s="20" t="n">
        <f aca="false">NPA_Provisions!M25</f>
        <v>0.0058176314142019</v>
      </c>
      <c r="G19" s="21" t="n">
        <f aca="false">IFERROR((F19-D19)*10000,"")</f>
        <v>23.9329232781719</v>
      </c>
      <c r="H19" s="18"/>
    </row>
    <row r="20" customFormat="false" ht="15" hidden="false" customHeight="false" outlineLevel="0" collapsed="false">
      <c r="B20" s="15" t="s">
        <v>57</v>
      </c>
      <c r="C20" s="19"/>
      <c r="D20" s="20" t="n">
        <f aca="false">Baseline!D10/AVERAGE(Baseline!C17,Baseline!D17)</f>
        <v>0.00371590715619484</v>
      </c>
      <c r="E20" s="20" t="n">
        <f aca="false">NPA_Provisions!L32</f>
        <v>0.0158860868799133</v>
      </c>
      <c r="F20" s="20" t="n">
        <f aca="false">NPA_Provisions!M32</f>
        <v>0.00967098136416325</v>
      </c>
      <c r="G20" s="21" t="n">
        <f aca="false">IFERROR((F20-D20)*10000,"")</f>
        <v>59.5507420796841</v>
      </c>
      <c r="H20" s="18"/>
    </row>
    <row r="21" customFormat="false" ht="15" hidden="false" customHeight="false" outlineLevel="0" collapsed="false">
      <c r="B21" s="15" t="s">
        <v>58</v>
      </c>
      <c r="C21" s="19"/>
      <c r="D21" s="16" t="n">
        <f aca="false">NPA_Provisions!C31</f>
        <v>13100</v>
      </c>
      <c r="E21" s="16" t="n">
        <f aca="false">NPA_Provisions!L31</f>
        <v>10100</v>
      </c>
      <c r="F21" s="16" t="n">
        <f aca="false">NPA_Provisions!M31</f>
        <v>9600</v>
      </c>
      <c r="G21" s="17" t="n">
        <f aca="false">IFERROR(F21/D21-1,"")</f>
        <v>-0.267175572519084</v>
      </c>
      <c r="H21" s="18"/>
    </row>
    <row r="22" customFormat="false" ht="15" hidden="false" customHeight="false" outlineLevel="0" collapsed="false">
      <c r="B22" s="13" t="s">
        <v>59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15" hidden="false" customHeight="false" outlineLevel="0" collapsed="false">
      <c r="B23" s="15" t="s">
        <v>60</v>
      </c>
      <c r="C23" s="20" t="n">
        <f aca="false">Baseline!C23</f>
        <v>0.1594</v>
      </c>
      <c r="D23" s="20" t="n">
        <f aca="false">Capital_RAROC!C18</f>
        <v>0.1635</v>
      </c>
      <c r="E23" s="20" t="n">
        <f aca="false">Capital_RAROC!L18</f>
        <v>0.168138300430552</v>
      </c>
      <c r="F23" s="20" t="n">
        <f aca="false">Capital_RAROC!M18</f>
        <v>0.172209772644481</v>
      </c>
      <c r="G23" s="21" t="n">
        <f aca="false">IFERROR((F23-D23)*10000,"")</f>
        <v>87.0977264448086</v>
      </c>
      <c r="H23" s="18" t="s">
        <v>61</v>
      </c>
    </row>
    <row r="24" customFormat="false" ht="15" hidden="false" customHeight="false" outlineLevel="0" collapsed="false">
      <c r="B24" s="15" t="s">
        <v>62</v>
      </c>
      <c r="C24" s="20" t="n">
        <f aca="false">Baseline!C22</f>
        <v>0.1655</v>
      </c>
      <c r="D24" s="20" t="n">
        <f aca="false">Capital_RAROC!C19</f>
        <v>0.1718</v>
      </c>
      <c r="E24" s="20" t="n">
        <f aca="false">Capital_RAROC!L19</f>
        <v>0.176110456449896</v>
      </c>
      <c r="F24" s="20" t="n">
        <f aca="false">Capital_RAROC!M19</f>
        <v>0.179674459371572</v>
      </c>
      <c r="G24" s="21" t="n">
        <f aca="false">IFERROR((F24-D24)*10000,"")</f>
        <v>78.7445937157158</v>
      </c>
      <c r="H24" s="18" t="s">
        <v>63</v>
      </c>
    </row>
    <row r="25" customFormat="false" ht="15" hidden="false" customHeight="false" outlineLevel="0" collapsed="false">
      <c r="B25" s="15" t="s">
        <v>64</v>
      </c>
      <c r="C25" s="22" t="n">
        <f aca="false">Baseline!C17/Baseline!C16</f>
        <v>0.833214932424544</v>
      </c>
      <c r="D25" s="22" t="n">
        <f aca="false">Funding!C18</f>
        <v>0.865859441387477</v>
      </c>
      <c r="E25" s="22" t="n">
        <f aca="false">Funding!L18</f>
        <v>0.824293568625582</v>
      </c>
      <c r="F25" s="22" t="n">
        <f aca="false">Funding!M18</f>
        <v>0.800022452428585</v>
      </c>
      <c r="G25" s="21" t="n">
        <f aca="false">IFERROR((F25-D25)*10000,"")</f>
        <v>-658.369889588916</v>
      </c>
      <c r="H25" s="18"/>
    </row>
    <row r="26" customFormat="false" ht="15" hidden="false" customHeight="false" outlineLevel="0" collapsed="false">
      <c r="B26" s="15" t="s">
        <v>65</v>
      </c>
      <c r="C26" s="19"/>
      <c r="D26" s="22" t="n">
        <f aca="false">Funding!C7</f>
        <v>0.414</v>
      </c>
      <c r="E26" s="22" t="n">
        <f aca="false">Funding!L7</f>
        <v>0.4005</v>
      </c>
      <c r="F26" s="22" t="n">
        <f aca="false">Funding!M7</f>
        <v>0.41075</v>
      </c>
      <c r="G26" s="21" t="n">
        <f aca="false">IFERROR((F26-D26)*10000,"")</f>
        <v>-32.5000000000009</v>
      </c>
      <c r="H26" s="18"/>
    </row>
    <row r="27" customFormat="false" ht="15" hidden="false" customHeight="false" outlineLevel="0" collapsed="false">
      <c r="B27" s="13" t="s">
        <v>66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15" hidden="false" customHeight="false" outlineLevel="0" collapsed="false">
      <c r="B28" s="15" t="s">
        <v>67</v>
      </c>
      <c r="C28" s="16" t="n">
        <f aca="false">Baseline!C16</f>
        <v>1610348</v>
      </c>
      <c r="D28" s="16" t="n">
        <f aca="false">Funding!C6</f>
        <v>1794625</v>
      </c>
      <c r="E28" s="16" t="n">
        <f aca="false">Funding!L6</f>
        <v>1975132.52381231</v>
      </c>
      <c r="F28" s="16" t="n">
        <f aca="false">Funding!M6</f>
        <v>2185701.61910001</v>
      </c>
      <c r="G28" s="17" t="n">
        <f aca="false">IFERROR(F28/D28-1,"")</f>
        <v>0.21791550830954</v>
      </c>
      <c r="H28" s="18"/>
    </row>
    <row r="29" customFormat="false" ht="15" hidden="false" customHeight="false" outlineLevel="0" collapsed="false">
      <c r="B29" s="15" t="s">
        <v>68</v>
      </c>
      <c r="C29" s="16" t="n">
        <f aca="false">Baseline!C17</f>
        <v>1341766</v>
      </c>
      <c r="D29" s="16" t="n">
        <f aca="false">Loan_Book!C11</f>
        <v>1553893</v>
      </c>
      <c r="E29" s="16" t="n">
        <f aca="false">Loan_Book!L11</f>
        <v>1628089.0365617</v>
      </c>
      <c r="F29" s="16" t="n">
        <f aca="false">Loan_Book!M11</f>
        <v>1748610.36958952</v>
      </c>
      <c r="G29" s="17" t="n">
        <f aca="false">IFERROR(F29/D29-1,"")</f>
        <v>0.125309380754992</v>
      </c>
      <c r="H29" s="18"/>
    </row>
    <row r="30" customFormat="false" ht="15" hidden="false" customHeight="false" outlineLevel="0" collapsed="false">
      <c r="B30" s="15" t="s">
        <v>69</v>
      </c>
      <c r="C30" s="19"/>
      <c r="D30" s="20" t="n">
        <f aca="false">Market_Share!C7</f>
        <v>0.0684190143803739</v>
      </c>
      <c r="E30" s="20" t="n">
        <f aca="false">Market_Share!L7</f>
        <v>0.0690914386656773</v>
      </c>
      <c r="F30" s="20" t="n">
        <f aca="false">Market_Share!M7</f>
        <v>0.069605934341748</v>
      </c>
      <c r="G30" s="21" t="n">
        <f aca="false">IFERROR((F30-D30)*10000,"")</f>
        <v>11.8691996137407</v>
      </c>
      <c r="H30" s="18"/>
    </row>
    <row r="31" customFormat="false" ht="15" hidden="false" customHeight="false" outlineLevel="0" collapsed="false">
      <c r="B31" s="15" t="s">
        <v>70</v>
      </c>
      <c r="C31" s="19"/>
      <c r="D31" s="20" t="n">
        <f aca="false">Market_Share!C10</f>
        <v>0.0762407660383249</v>
      </c>
      <c r="E31" s="20" t="n">
        <f aca="false">Market_Share!L10</f>
        <v>0.0766195413716798</v>
      </c>
      <c r="F31" s="20" t="n">
        <f aca="false">Market_Share!M10</f>
        <v>0.0771412011904377</v>
      </c>
      <c r="G31" s="21" t="n">
        <f aca="false">IFERROR((F31-D31)*10000,"")</f>
        <v>9.004351521128</v>
      </c>
      <c r="H31" s="18"/>
    </row>
    <row r="32" customFormat="false" ht="15" hidden="false" customHeight="false" outlineLevel="0" collapsed="false">
      <c r="B32" s="13" t="s">
        <v>71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customFormat="false" ht="15" hidden="false" customHeight="false" outlineLevel="0" collapsed="false">
      <c r="B33" s="15" t="s">
        <v>72</v>
      </c>
      <c r="C33" s="19"/>
      <c r="D33" s="19"/>
      <c r="E33" s="22" t="n">
        <f aca="false">AVERAGE(Customer_Survey!C43:F43)</f>
        <v>0.803</v>
      </c>
      <c r="F33" s="22" t="n">
        <f aca="false">AVERAGE(Customer_Survey!G43:J43)</f>
        <v>0.8015</v>
      </c>
      <c r="G33" s="19"/>
      <c r="H33" s="18" t="s">
        <v>73</v>
      </c>
    </row>
    <row r="34" customFormat="false" ht="15" hidden="false" customHeight="false" outlineLevel="0" collapsed="false">
      <c r="B34" s="15" t="s">
        <v>74</v>
      </c>
      <c r="C34" s="19"/>
      <c r="D34" s="19"/>
      <c r="E34" s="23" t="n">
        <f aca="false">AVERAGE(Customer_Survey!C41:F41)</f>
        <v>44.5</v>
      </c>
      <c r="F34" s="23" t="n">
        <f aca="false">AVERAGE(Customer_Survey!G41:J41)</f>
        <v>46</v>
      </c>
      <c r="G34" s="19"/>
      <c r="H34" s="18"/>
    </row>
    <row r="35" customFormat="false" ht="15" hidden="false" customHeight="false" outlineLevel="0" collapsed="false">
      <c r="B35" s="13" t="s">
        <v>75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customFormat="false" ht="15" hidden="false" customHeight="false" outlineLevel="0" collapsed="false">
      <c r="B36" s="15" t="s">
        <v>76</v>
      </c>
      <c r="C36" s="19"/>
      <c r="D36" s="24" t="n">
        <f aca="false">Balance_Sheet!C19</f>
        <v>0</v>
      </c>
      <c r="E36" s="24" t="n">
        <f aca="false">Balance_Sheet!L19</f>
        <v>0</v>
      </c>
      <c r="F36" s="24" t="n">
        <f aca="false">Balance_Sheet!M19</f>
        <v>0</v>
      </c>
      <c r="G36" s="19"/>
      <c r="H36" s="18"/>
    </row>
    <row r="37" customFormat="false" ht="15" hidden="false" customHeight="false" outlineLevel="0" collapsed="false">
      <c r="B37" s="15" t="s">
        <v>77</v>
      </c>
      <c r="C37" s="19"/>
      <c r="D37" s="19"/>
      <c r="E37" s="24" t="n">
        <f aca="false">ROUND('P&amp;L'!L21-SUM('P&amp;L'!D21:G21),2)</f>
        <v>0</v>
      </c>
      <c r="F37" s="24" t="n">
        <f aca="false">ROUND('P&amp;L'!M21-SUM('P&amp;L'!H21:K21),2)</f>
        <v>0</v>
      </c>
      <c r="G37" s="19"/>
      <c r="H37" s="18"/>
    </row>
    <row r="38" customFormat="false" ht="15" hidden="false" customHeight="false" outlineLevel="0" collapsed="false">
      <c r="B38" s="15" t="s">
        <v>78</v>
      </c>
      <c r="C38" s="19"/>
      <c r="D38" s="19"/>
      <c r="E38" s="24" t="n">
        <f aca="false">ROUND(NPA_Provisions!G18-(NPA_Provisions!C18+NPA_Provisions!L15+NPA_Provisions!L16+NPA_Provisions!L17),2)</f>
        <v>0</v>
      </c>
      <c r="F38" s="24" t="n">
        <f aca="false">ROUND(NPA_Provisions!K18-(NPA_Provisions!G18+NPA_Provisions!M15+NPA_Provisions!M16+NPA_Provisions!M17),2)</f>
        <v>0</v>
      </c>
      <c r="G38" s="19"/>
      <c r="H38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9" t="s">
        <v>79</v>
      </c>
    </row>
    <row r="3" customFormat="false" ht="15" hidden="false" customHeight="false" outlineLevel="0" collapsed="false">
      <c r="B3" s="25" t="s">
        <v>80</v>
      </c>
      <c r="C3" s="25" t="s">
        <v>81</v>
      </c>
      <c r="D3" s="25" t="s">
        <v>82</v>
      </c>
      <c r="E3" s="25" t="s">
        <v>83</v>
      </c>
      <c r="F3" s="25" t="s">
        <v>84</v>
      </c>
      <c r="G3" s="25" t="s">
        <v>85</v>
      </c>
    </row>
    <row r="4" customFormat="false" ht="61.5" hidden="false" customHeight="true" outlineLevel="0" collapsed="false">
      <c r="B4" s="26" t="s">
        <v>86</v>
      </c>
      <c r="C4" s="27" t="s">
        <v>87</v>
      </c>
      <c r="D4" s="27" t="s">
        <v>88</v>
      </c>
      <c r="E4" s="27" t="s">
        <v>89</v>
      </c>
      <c r="F4" s="28" t="n">
        <f aca="false">'P&amp;L'!D21</f>
        <v>9682.04964120702</v>
      </c>
      <c r="G4" s="29" t="n">
        <f aca="false">NPA_Provisions!D24</f>
        <v>0.015595785145455</v>
      </c>
    </row>
    <row r="5" customFormat="false" ht="61.5" hidden="false" customHeight="true" outlineLevel="0" collapsed="false">
      <c r="B5" s="26" t="s">
        <v>90</v>
      </c>
      <c r="C5" s="27" t="s">
        <v>91</v>
      </c>
      <c r="D5" s="27" t="s">
        <v>92</v>
      </c>
      <c r="E5" s="27" t="s">
        <v>93</v>
      </c>
      <c r="F5" s="28" t="n">
        <f aca="false">'P&amp;L'!E21</f>
        <v>8057.30413955646</v>
      </c>
      <c r="G5" s="29" t="n">
        <f aca="false">NPA_Provisions!E24</f>
        <v>0.0187232885835584</v>
      </c>
    </row>
    <row r="6" customFormat="false" ht="61.5" hidden="false" customHeight="true" outlineLevel="0" collapsed="false">
      <c r="B6" s="26" t="s">
        <v>94</v>
      </c>
      <c r="C6" s="27" t="s">
        <v>95</v>
      </c>
      <c r="D6" s="27" t="s">
        <v>96</v>
      </c>
      <c r="E6" s="27" t="s">
        <v>97</v>
      </c>
      <c r="F6" s="28" t="n">
        <f aca="false">'P&amp;L'!F21</f>
        <v>8027.62721703556</v>
      </c>
      <c r="G6" s="29" t="n">
        <f aca="false">NPA_Provisions!F24</f>
        <v>0.0228704412715461</v>
      </c>
    </row>
    <row r="7" customFormat="false" ht="61.5" hidden="false" customHeight="true" outlineLevel="0" collapsed="false">
      <c r="B7" s="26" t="s">
        <v>98</v>
      </c>
      <c r="C7" s="27" t="s">
        <v>99</v>
      </c>
      <c r="D7" s="27" t="s">
        <v>100</v>
      </c>
      <c r="E7" s="27" t="s">
        <v>101</v>
      </c>
      <c r="F7" s="28" t="n">
        <f aca="false">'P&amp;L'!G21</f>
        <v>7694.20817924533</v>
      </c>
      <c r="G7" s="29" t="n">
        <f aca="false">NPA_Provisions!G24</f>
        <v>0.0273837465492029</v>
      </c>
    </row>
    <row r="8" customFormat="false" ht="61.5" hidden="false" customHeight="true" outlineLevel="0" collapsed="false">
      <c r="B8" s="26" t="s">
        <v>102</v>
      </c>
      <c r="C8" s="27" t="s">
        <v>103</v>
      </c>
      <c r="D8" s="27" t="s">
        <v>104</v>
      </c>
      <c r="E8" s="27" t="s">
        <v>105</v>
      </c>
      <c r="F8" s="28" t="n">
        <f aca="false">'P&amp;L'!H21</f>
        <v>8863.24331851536</v>
      </c>
      <c r="G8" s="29" t="n">
        <f aca="false">NPA_Provisions!H24</f>
        <v>0.0297973573637839</v>
      </c>
    </row>
    <row r="9" customFormat="false" ht="61.5" hidden="false" customHeight="true" outlineLevel="0" collapsed="false">
      <c r="B9" s="26" t="s">
        <v>106</v>
      </c>
      <c r="C9" s="27" t="s">
        <v>107</v>
      </c>
      <c r="D9" s="27" t="s">
        <v>108</v>
      </c>
      <c r="E9" s="27" t="s">
        <v>109</v>
      </c>
      <c r="F9" s="28" t="n">
        <f aca="false">'P&amp;L'!I21</f>
        <v>9570.4685925181</v>
      </c>
      <c r="G9" s="29" t="n">
        <f aca="false">NPA_Provisions!I24</f>
        <v>0.0299844783273713</v>
      </c>
    </row>
    <row r="10" customFormat="false" ht="61.5" hidden="false" customHeight="true" outlineLevel="0" collapsed="false">
      <c r="B10" s="26" t="s">
        <v>110</v>
      </c>
      <c r="C10" s="27" t="s">
        <v>111</v>
      </c>
      <c r="D10" s="27" t="s">
        <v>112</v>
      </c>
      <c r="E10" s="27" t="s">
        <v>113</v>
      </c>
      <c r="F10" s="28" t="n">
        <f aca="false">'P&amp;L'!J21</f>
        <v>11475.1802271478</v>
      </c>
      <c r="G10" s="29" t="n">
        <f aca="false">NPA_Provisions!J24</f>
        <v>0.0282697507135571</v>
      </c>
    </row>
    <row r="11" customFormat="false" ht="61.5" hidden="false" customHeight="true" outlineLevel="0" collapsed="false">
      <c r="B11" s="26" t="s">
        <v>114</v>
      </c>
      <c r="C11" s="27" t="s">
        <v>115</v>
      </c>
      <c r="D11" s="27" t="s">
        <v>116</v>
      </c>
      <c r="E11" s="27" t="s">
        <v>117</v>
      </c>
      <c r="F11" s="28" t="n">
        <f aca="false">'P&amp;L'!K21</f>
        <v>12628.3822550998</v>
      </c>
      <c r="G11" s="29" t="n">
        <f aca="false">NPA_Provisions!K24</f>
        <v>0.0259093686890011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118</v>
      </c>
    </row>
    <row r="2" customFormat="false" ht="15" hidden="false" customHeight="false" outlineLevel="0" collapsed="false">
      <c r="A2" s="10" t="s">
        <v>119</v>
      </c>
    </row>
    <row r="3" customFormat="false" ht="15" hidden="false" customHeight="false" outlineLevel="0" collapsed="false">
      <c r="D3" s="30" t="s">
        <v>120</v>
      </c>
      <c r="E3" s="30" t="s">
        <v>121</v>
      </c>
      <c r="F3" s="30" t="s">
        <v>122</v>
      </c>
      <c r="G3" s="30" t="s">
        <v>123</v>
      </c>
      <c r="H3" s="30" t="s">
        <v>124</v>
      </c>
      <c r="I3" s="30" t="s">
        <v>125</v>
      </c>
      <c r="J3" s="30" t="s">
        <v>126</v>
      </c>
      <c r="K3" s="30" t="s">
        <v>127</v>
      </c>
    </row>
    <row r="4" customFormat="false" ht="27.75" hidden="false" customHeight="true" outlineLevel="0" collapsed="false">
      <c r="B4" s="31" t="s">
        <v>128</v>
      </c>
      <c r="C4" s="32" t="s">
        <v>129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138</v>
      </c>
    </row>
    <row r="5" customFormat="false" ht="15" hidden="false" customHeight="false" outlineLevel="0" collapsed="false">
      <c r="B5" s="13" t="s">
        <v>139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140</v>
      </c>
      <c r="C6" s="33" t="n">
        <v>0.065</v>
      </c>
      <c r="D6" s="34" t="n">
        <v>0.048</v>
      </c>
      <c r="E6" s="34" t="n">
        <v>0.035</v>
      </c>
      <c r="F6" s="34" t="n">
        <v>0.022</v>
      </c>
      <c r="G6" s="34" t="n">
        <v>0.018</v>
      </c>
      <c r="H6" s="34" t="n">
        <v>0.025</v>
      </c>
      <c r="I6" s="34" t="n">
        <v>0.035</v>
      </c>
      <c r="J6" s="34" t="n">
        <v>0.045</v>
      </c>
      <c r="K6" s="34" t="n">
        <v>0.055</v>
      </c>
      <c r="L6" s="35"/>
      <c r="M6" s="35"/>
      <c r="N6" s="36" t="s">
        <v>141</v>
      </c>
    </row>
    <row r="7" customFormat="false" ht="15" hidden="false" customHeight="false" outlineLevel="0" collapsed="false">
      <c r="B7" s="15" t="s">
        <v>142</v>
      </c>
      <c r="C7" s="37" t="n">
        <v>0.0525</v>
      </c>
      <c r="D7" s="38" t="n">
        <v>0.0525</v>
      </c>
      <c r="E7" s="38" t="n">
        <v>0.05</v>
      </c>
      <c r="F7" s="38" t="n">
        <v>0.0475</v>
      </c>
      <c r="G7" s="38" t="n">
        <v>0.045</v>
      </c>
      <c r="H7" s="38" t="n">
        <v>0.045</v>
      </c>
      <c r="I7" s="38" t="n">
        <v>0.045</v>
      </c>
      <c r="J7" s="38" t="n">
        <v>0.045</v>
      </c>
      <c r="K7" s="38" t="n">
        <v>0.0475</v>
      </c>
      <c r="L7" s="39"/>
      <c r="M7" s="39"/>
      <c r="N7" s="36" t="s">
        <v>143</v>
      </c>
    </row>
    <row r="8" customFormat="false" ht="15" hidden="false" customHeight="false" outlineLevel="0" collapsed="false">
      <c r="B8" s="15" t="s">
        <v>144</v>
      </c>
      <c r="C8" s="39"/>
      <c r="D8" s="39" t="n">
        <f aca="false">D7-$C$7</f>
        <v>0</v>
      </c>
      <c r="E8" s="39" t="n">
        <f aca="false">E7-$C$7</f>
        <v>-0.0025</v>
      </c>
      <c r="F8" s="39" t="n">
        <f aca="false">F7-$C$7</f>
        <v>-0.005</v>
      </c>
      <c r="G8" s="39" t="n">
        <f aca="false">G7-$C$7</f>
        <v>-0.0075</v>
      </c>
      <c r="H8" s="39" t="n">
        <f aca="false">H7-$C$7</f>
        <v>-0.0075</v>
      </c>
      <c r="I8" s="39" t="n">
        <f aca="false">I7-$C$7</f>
        <v>-0.0075</v>
      </c>
      <c r="J8" s="39" t="n">
        <f aca="false">J7-$C$7</f>
        <v>-0.0075</v>
      </c>
      <c r="K8" s="39" t="n">
        <f aca="false">K7-$C$7</f>
        <v>-0.005</v>
      </c>
      <c r="L8" s="39"/>
      <c r="M8" s="39"/>
      <c r="N8" s="19"/>
    </row>
    <row r="9" customFormat="false" ht="15" hidden="false" customHeight="false" outlineLevel="0" collapsed="false">
      <c r="B9" s="13" t="s">
        <v>145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15" hidden="false" customHeight="false" outlineLevel="0" collapsed="false">
      <c r="B10" s="15" t="s">
        <v>146</v>
      </c>
      <c r="C10" s="40" t="n">
        <v>1</v>
      </c>
      <c r="D10" s="41" t="n">
        <v>1.4</v>
      </c>
      <c r="E10" s="41" t="n">
        <v>2</v>
      </c>
      <c r="F10" s="41" t="n">
        <v>2.6</v>
      </c>
      <c r="G10" s="41" t="n">
        <v>3</v>
      </c>
      <c r="H10" s="41" t="n">
        <v>2.7</v>
      </c>
      <c r="I10" s="41" t="n">
        <v>2.2</v>
      </c>
      <c r="J10" s="41" t="n">
        <v>1.7</v>
      </c>
      <c r="K10" s="41" t="n">
        <v>1.4</v>
      </c>
      <c r="L10" s="42"/>
      <c r="M10" s="42"/>
      <c r="N10" s="36" t="s">
        <v>147</v>
      </c>
    </row>
    <row r="11" customFormat="false" ht="15" hidden="false" customHeight="false" outlineLevel="0" collapsed="false">
      <c r="B11" s="15" t="s">
        <v>148</v>
      </c>
      <c r="C11" s="43" t="n">
        <v>1</v>
      </c>
      <c r="D11" s="44" t="n">
        <v>0.95</v>
      </c>
      <c r="E11" s="44" t="n">
        <v>0.85</v>
      </c>
      <c r="F11" s="44" t="n">
        <v>0.75</v>
      </c>
      <c r="G11" s="44" t="n">
        <v>0.7</v>
      </c>
      <c r="H11" s="44" t="n">
        <v>0.75</v>
      </c>
      <c r="I11" s="44" t="n">
        <v>0.85</v>
      </c>
      <c r="J11" s="44" t="n">
        <v>0.95</v>
      </c>
      <c r="K11" s="44" t="n">
        <v>1</v>
      </c>
      <c r="L11" s="45"/>
      <c r="M11" s="45"/>
      <c r="N11" s="36" t="s">
        <v>149</v>
      </c>
    </row>
    <row r="12" customFormat="false" ht="15" hidden="false" customHeight="false" outlineLevel="0" collapsed="false">
      <c r="B12" s="15" t="s">
        <v>150</v>
      </c>
      <c r="C12" s="39"/>
      <c r="D12" s="38" t="n">
        <v>0.025</v>
      </c>
      <c r="E12" s="38" t="n">
        <v>0.022</v>
      </c>
      <c r="F12" s="38" t="n">
        <v>0.02</v>
      </c>
      <c r="G12" s="38" t="n">
        <v>0.02</v>
      </c>
      <c r="H12" s="38" t="n">
        <v>0.021</v>
      </c>
      <c r="I12" s="38" t="n">
        <v>0.023</v>
      </c>
      <c r="J12" s="38" t="n">
        <v>0.025</v>
      </c>
      <c r="K12" s="38" t="n">
        <v>0.026</v>
      </c>
      <c r="L12" s="39"/>
      <c r="M12" s="39"/>
      <c r="N12" s="36" t="s">
        <v>151</v>
      </c>
    </row>
    <row r="13" customFormat="false" ht="15" hidden="false" customHeight="false" outlineLevel="0" collapsed="false">
      <c r="B13" s="15" t="s">
        <v>152</v>
      </c>
      <c r="C13" s="39"/>
      <c r="D13" s="38" t="n">
        <v>0.02</v>
      </c>
      <c r="E13" s="38" t="n">
        <v>0.015</v>
      </c>
      <c r="F13" s="38" t="n">
        <v>0.01</v>
      </c>
      <c r="G13" s="38" t="n">
        <v>0.008</v>
      </c>
      <c r="H13" s="38" t="n">
        <v>0.01</v>
      </c>
      <c r="I13" s="38" t="n">
        <v>0.014</v>
      </c>
      <c r="J13" s="38" t="n">
        <v>0.018</v>
      </c>
      <c r="K13" s="38" t="n">
        <v>0.022</v>
      </c>
      <c r="L13" s="39"/>
      <c r="M13" s="39"/>
      <c r="N13" s="36" t="s">
        <v>153</v>
      </c>
    </row>
    <row r="14" customFormat="false" ht="15" hidden="false" customHeight="false" outlineLevel="0" collapsed="false">
      <c r="B14" s="15" t="s">
        <v>154</v>
      </c>
      <c r="C14" s="17"/>
      <c r="D14" s="46" t="n">
        <v>-0.004</v>
      </c>
      <c r="E14" s="46" t="n">
        <v>-0.006</v>
      </c>
      <c r="F14" s="46" t="n">
        <v>-0.006</v>
      </c>
      <c r="G14" s="46" t="n">
        <v>-0.004</v>
      </c>
      <c r="H14" s="46" t="n">
        <v>-0.002</v>
      </c>
      <c r="I14" s="46" t="n">
        <v>0</v>
      </c>
      <c r="J14" s="46" t="n">
        <v>0.002</v>
      </c>
      <c r="K14" s="46" t="n">
        <v>0.003</v>
      </c>
      <c r="L14" s="17"/>
      <c r="M14" s="17"/>
      <c r="N14" s="36" t="s">
        <v>155</v>
      </c>
    </row>
    <row r="15" customFormat="false" ht="15" hidden="false" customHeight="false" outlineLevel="0" collapsed="false">
      <c r="B15" s="15" t="s">
        <v>156</v>
      </c>
      <c r="C15" s="43" t="n">
        <v>1</v>
      </c>
      <c r="D15" s="44" t="n">
        <v>0.95</v>
      </c>
      <c r="E15" s="44" t="n">
        <v>0.9</v>
      </c>
      <c r="F15" s="44" t="n">
        <v>0.86</v>
      </c>
      <c r="G15" s="44" t="n">
        <v>0.84</v>
      </c>
      <c r="H15" s="44" t="n">
        <v>0.87</v>
      </c>
      <c r="I15" s="44" t="n">
        <v>0.92</v>
      </c>
      <c r="J15" s="44" t="n">
        <v>0.96</v>
      </c>
      <c r="K15" s="44" t="n">
        <v>1</v>
      </c>
      <c r="L15" s="45"/>
      <c r="M15" s="45"/>
      <c r="N15" s="36" t="s">
        <v>157</v>
      </c>
    </row>
    <row r="16" customFormat="false" ht="15" hidden="false" customHeight="false" outlineLevel="0" collapsed="false">
      <c r="B16" s="15" t="s">
        <v>158</v>
      </c>
      <c r="C16" s="47"/>
      <c r="D16" s="48" t="n">
        <v>400</v>
      </c>
      <c r="E16" s="48" t="n">
        <v>900</v>
      </c>
      <c r="F16" s="48" t="n">
        <v>1100</v>
      </c>
      <c r="G16" s="48" t="n">
        <v>700</v>
      </c>
      <c r="H16" s="48" t="n">
        <v>300</v>
      </c>
      <c r="I16" s="48" t="n">
        <v>200</v>
      </c>
      <c r="J16" s="48" t="n">
        <v>100</v>
      </c>
      <c r="K16" s="48" t="n">
        <v>-200</v>
      </c>
      <c r="L16" s="47"/>
      <c r="M16" s="47"/>
      <c r="N16" s="36" t="s">
        <v>159</v>
      </c>
    </row>
    <row r="18" customFormat="false" ht="15" hidden="false" customHeight="false" outlineLevel="0" collapsed="false">
      <c r="B18" s="13" t="s">
        <v>160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15" hidden="false" customHeight="false" outlineLevel="0" collapsed="false">
      <c r="B19" s="15" t="s">
        <v>161</v>
      </c>
      <c r="C19" s="34" t="n">
        <v>0.6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8" t="s">
        <v>162</v>
      </c>
    </row>
    <row r="20" customFormat="false" ht="15" hidden="false" customHeight="false" outlineLevel="0" collapsed="false">
      <c r="B20" s="15" t="s">
        <v>163</v>
      </c>
      <c r="C20" s="34" t="n">
        <v>0.45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8" t="s">
        <v>164</v>
      </c>
    </row>
    <row r="21" customFormat="false" ht="15" hidden="false" customHeight="false" outlineLevel="0" collapsed="false">
      <c r="B21" s="15" t="s">
        <v>165</v>
      </c>
      <c r="C21" s="34" t="n">
        <v>0.1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8" t="s">
        <v>166</v>
      </c>
    </row>
    <row r="22" customFormat="false" ht="15" hidden="false" customHeight="false" outlineLevel="0" collapsed="false">
      <c r="B22" s="15" t="s">
        <v>167</v>
      </c>
      <c r="C22" s="34" t="n">
        <v>0.35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8" t="s">
        <v>168</v>
      </c>
    </row>
    <row r="23" customFormat="false" ht="15" hidden="false" customHeight="false" outlineLevel="0" collapsed="false">
      <c r="B23" s="15" t="s">
        <v>169</v>
      </c>
      <c r="C23" s="38" t="n">
        <v>0.0012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8" t="s">
        <v>166</v>
      </c>
    </row>
    <row r="24" customFormat="false" ht="15" hidden="false" customHeight="false" outlineLevel="0" collapsed="false">
      <c r="B24" s="15" t="s">
        <v>170</v>
      </c>
      <c r="C24" s="38" t="n">
        <v>0.0004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8" t="s">
        <v>166</v>
      </c>
    </row>
    <row r="25" customFormat="false" ht="15" hidden="false" customHeight="false" outlineLevel="0" collapsed="false">
      <c r="B25" s="15" t="s">
        <v>171</v>
      </c>
      <c r="C25" s="38" t="n">
        <v>0.0005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8" t="s">
        <v>172</v>
      </c>
    </row>
    <row r="26" customFormat="false" ht="15" hidden="false" customHeight="false" outlineLevel="0" collapsed="false">
      <c r="B26" s="15" t="s">
        <v>173</v>
      </c>
      <c r="C26" s="34" t="n">
        <v>0.02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8" t="s">
        <v>174</v>
      </c>
    </row>
    <row r="27" customFormat="false" ht="15" hidden="false" customHeight="false" outlineLevel="0" collapsed="false">
      <c r="B27" s="15" t="s">
        <v>175</v>
      </c>
      <c r="C27" s="48" t="n">
        <v>26229916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8" t="s">
        <v>176</v>
      </c>
    </row>
    <row r="28" customFormat="false" ht="15" hidden="false" customHeight="false" outlineLevel="0" collapsed="false">
      <c r="B28" s="15" t="s">
        <v>177</v>
      </c>
      <c r="C28" s="48" t="n">
        <v>20600000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8" t="s">
        <v>178</v>
      </c>
    </row>
    <row r="29" customFormat="false" ht="15" hidden="false" customHeight="false" outlineLevel="0" collapsed="false">
      <c r="B29" s="15" t="s">
        <v>179</v>
      </c>
      <c r="C29" s="38" t="n">
        <v>0.2517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8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181</v>
      </c>
    </row>
    <row r="2" customFormat="false" ht="15" hidden="false" customHeight="false" outlineLevel="0" collapsed="false">
      <c r="A2" s="10" t="s">
        <v>182</v>
      </c>
    </row>
    <row r="3" customFormat="false" ht="15" hidden="false" customHeight="false" outlineLevel="0" collapsed="false">
      <c r="D3" s="30" t="s">
        <v>120</v>
      </c>
      <c r="E3" s="30" t="s">
        <v>121</v>
      </c>
      <c r="F3" s="30" t="s">
        <v>122</v>
      </c>
      <c r="G3" s="30" t="s">
        <v>123</v>
      </c>
      <c r="H3" s="30" t="s">
        <v>124</v>
      </c>
      <c r="I3" s="30" t="s">
        <v>125</v>
      </c>
      <c r="J3" s="30" t="s">
        <v>126</v>
      </c>
      <c r="K3" s="30" t="s">
        <v>127</v>
      </c>
    </row>
    <row r="4" customFormat="false" ht="27.75" hidden="false" customHeight="true" outlineLevel="0" collapsed="false">
      <c r="B4" s="31" t="s">
        <v>128</v>
      </c>
      <c r="C4" s="32" t="s">
        <v>183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138</v>
      </c>
    </row>
    <row r="5" customFormat="false" ht="15" hidden="false" customHeight="false" outlineLevel="0" collapsed="false">
      <c r="B5" s="13" t="s">
        <v>184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185</v>
      </c>
      <c r="C6" s="35"/>
      <c r="D6" s="34" t="n">
        <v>0.02</v>
      </c>
      <c r="E6" s="34" t="n">
        <v>0.018</v>
      </c>
      <c r="F6" s="34" t="n">
        <v>0.015</v>
      </c>
      <c r="G6" s="34" t="n">
        <v>0.015</v>
      </c>
      <c r="H6" s="34" t="n">
        <v>0.018</v>
      </c>
      <c r="I6" s="34" t="n">
        <v>0.02</v>
      </c>
      <c r="J6" s="34" t="n">
        <v>0.023</v>
      </c>
      <c r="K6" s="34" t="n">
        <v>0.025</v>
      </c>
      <c r="L6" s="35"/>
      <c r="M6" s="35"/>
      <c r="N6" s="36" t="s">
        <v>186</v>
      </c>
    </row>
    <row r="7" customFormat="false" ht="15" hidden="false" customHeight="false" outlineLevel="0" collapsed="false">
      <c r="B7" s="15" t="s">
        <v>187</v>
      </c>
      <c r="C7" s="35"/>
      <c r="D7" s="34" t="n">
        <v>-0.01</v>
      </c>
      <c r="E7" s="34" t="n">
        <v>-0.025</v>
      </c>
      <c r="F7" s="34" t="n">
        <v>-0.03</v>
      </c>
      <c r="G7" s="34" t="n">
        <v>-0.02</v>
      </c>
      <c r="H7" s="34" t="n">
        <v>-0.01</v>
      </c>
      <c r="I7" s="34" t="n">
        <v>0</v>
      </c>
      <c r="J7" s="34" t="n">
        <v>0.01</v>
      </c>
      <c r="K7" s="34" t="n">
        <v>0.015</v>
      </c>
      <c r="L7" s="35"/>
      <c r="M7" s="35"/>
      <c r="N7" s="36" t="s">
        <v>188</v>
      </c>
    </row>
    <row r="8" customFormat="false" ht="15" hidden="false" customHeight="false" outlineLevel="0" collapsed="false">
      <c r="B8" s="15" t="s">
        <v>189</v>
      </c>
      <c r="C8" s="35"/>
      <c r="D8" s="34" t="n">
        <v>0.02</v>
      </c>
      <c r="E8" s="34" t="n">
        <v>0.01</v>
      </c>
      <c r="F8" s="34" t="n">
        <v>0.005</v>
      </c>
      <c r="G8" s="34" t="n">
        <v>0.005</v>
      </c>
      <c r="H8" s="34" t="n">
        <v>0.01</v>
      </c>
      <c r="I8" s="34" t="n">
        <v>0.015</v>
      </c>
      <c r="J8" s="34" t="n">
        <v>0.02</v>
      </c>
      <c r="K8" s="34" t="n">
        <v>0.025</v>
      </c>
      <c r="L8" s="35"/>
      <c r="M8" s="35"/>
      <c r="N8" s="36" t="s">
        <v>190</v>
      </c>
    </row>
    <row r="9" customFormat="false" ht="15" hidden="false" customHeight="false" outlineLevel="0" collapsed="false">
      <c r="B9" s="15" t="s">
        <v>191</v>
      </c>
      <c r="C9" s="35"/>
      <c r="D9" s="34" t="n">
        <v>0.01</v>
      </c>
      <c r="E9" s="34" t="n">
        <v>0</v>
      </c>
      <c r="F9" s="34" t="n">
        <v>-0.005</v>
      </c>
      <c r="G9" s="34" t="n">
        <v>0</v>
      </c>
      <c r="H9" s="34" t="n">
        <v>0.005</v>
      </c>
      <c r="I9" s="34" t="n">
        <v>0.01</v>
      </c>
      <c r="J9" s="34" t="n">
        <v>0.015</v>
      </c>
      <c r="K9" s="34" t="n">
        <v>0.02</v>
      </c>
      <c r="L9" s="35"/>
      <c r="M9" s="35"/>
      <c r="N9" s="36" t="s">
        <v>192</v>
      </c>
    </row>
    <row r="10" customFormat="false" ht="15" hidden="false" customHeight="false" outlineLevel="0" collapsed="false">
      <c r="B10" s="15" t="s">
        <v>193</v>
      </c>
      <c r="C10" s="35"/>
      <c r="D10" s="34" t="n">
        <v>0.025</v>
      </c>
      <c r="E10" s="34" t="n">
        <v>0.025</v>
      </c>
      <c r="F10" s="34" t="n">
        <v>0.02</v>
      </c>
      <c r="G10" s="34" t="n">
        <v>0.02</v>
      </c>
      <c r="H10" s="34" t="n">
        <v>0.02</v>
      </c>
      <c r="I10" s="34" t="n">
        <v>0.02</v>
      </c>
      <c r="J10" s="34" t="n">
        <v>0.02</v>
      </c>
      <c r="K10" s="34" t="n">
        <v>0.02</v>
      </c>
      <c r="L10" s="35"/>
      <c r="M10" s="35"/>
      <c r="N10" s="36" t="s">
        <v>194</v>
      </c>
    </row>
    <row r="11" customFormat="false" ht="15" hidden="false" customHeight="false" outlineLevel="0" collapsed="false">
      <c r="B11" s="13" t="s">
        <v>195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customFormat="false" ht="15" hidden="false" customHeight="false" outlineLevel="0" collapsed="false">
      <c r="B12" s="15" t="s">
        <v>196</v>
      </c>
      <c r="C12" s="49"/>
      <c r="D12" s="50" t="n">
        <v>0</v>
      </c>
      <c r="E12" s="50" t="n">
        <v>25</v>
      </c>
      <c r="F12" s="50" t="n">
        <v>50</v>
      </c>
      <c r="G12" s="50" t="n">
        <v>50</v>
      </c>
      <c r="H12" s="50" t="n">
        <v>50</v>
      </c>
      <c r="I12" s="50" t="n">
        <v>25</v>
      </c>
      <c r="J12" s="50" t="n">
        <v>0</v>
      </c>
      <c r="K12" s="50" t="n">
        <v>0</v>
      </c>
      <c r="L12" s="49"/>
      <c r="M12" s="49"/>
      <c r="N12" s="36" t="s">
        <v>197</v>
      </c>
    </row>
    <row r="13" customFormat="false" ht="15" hidden="false" customHeight="false" outlineLevel="0" collapsed="false">
      <c r="B13" s="15" t="s">
        <v>198</v>
      </c>
      <c r="C13" s="49"/>
      <c r="D13" s="50" t="n">
        <v>0</v>
      </c>
      <c r="E13" s="50" t="n">
        <v>-10</v>
      </c>
      <c r="F13" s="50" t="n">
        <v>-10</v>
      </c>
      <c r="G13" s="50" t="n">
        <v>-10</v>
      </c>
      <c r="H13" s="50" t="n">
        <v>-10</v>
      </c>
      <c r="I13" s="50" t="n">
        <v>-10</v>
      </c>
      <c r="J13" s="50" t="n">
        <v>0</v>
      </c>
      <c r="K13" s="50" t="n">
        <v>0</v>
      </c>
      <c r="L13" s="49"/>
      <c r="M13" s="49"/>
      <c r="N13" s="36" t="s">
        <v>199</v>
      </c>
    </row>
    <row r="14" customFormat="false" ht="15" hidden="false" customHeight="false" outlineLevel="0" collapsed="false">
      <c r="B14" s="15" t="s">
        <v>200</v>
      </c>
      <c r="C14" s="49"/>
      <c r="D14" s="50" t="n">
        <v>0</v>
      </c>
      <c r="E14" s="50" t="n">
        <v>10</v>
      </c>
      <c r="F14" s="50" t="n">
        <v>15</v>
      </c>
      <c r="G14" s="50" t="n">
        <v>15</v>
      </c>
      <c r="H14" s="50" t="n">
        <v>10</v>
      </c>
      <c r="I14" s="50" t="n">
        <v>5</v>
      </c>
      <c r="J14" s="50" t="n">
        <v>0</v>
      </c>
      <c r="K14" s="50" t="n">
        <v>0</v>
      </c>
      <c r="L14" s="49"/>
      <c r="M14" s="49"/>
      <c r="N14" s="36" t="s">
        <v>201</v>
      </c>
    </row>
    <row r="15" customFormat="false" ht="15" hidden="false" customHeight="false" outlineLevel="0" collapsed="false">
      <c r="B15" s="13" t="s">
        <v>202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customFormat="false" ht="15" hidden="false" customHeight="false" outlineLevel="0" collapsed="false">
      <c r="B16" s="15" t="s">
        <v>203</v>
      </c>
      <c r="C16" s="47"/>
      <c r="D16" s="48" t="n">
        <v>300</v>
      </c>
      <c r="E16" s="48" t="n">
        <v>350</v>
      </c>
      <c r="F16" s="48" t="n">
        <v>350</v>
      </c>
      <c r="G16" s="48" t="n">
        <v>300</v>
      </c>
      <c r="H16" s="48" t="n">
        <v>300</v>
      </c>
      <c r="I16" s="48" t="n">
        <v>350</v>
      </c>
      <c r="J16" s="48" t="n">
        <v>400</v>
      </c>
      <c r="K16" s="48" t="n">
        <v>400</v>
      </c>
      <c r="L16" s="47"/>
      <c r="M16" s="47"/>
      <c r="N16" s="36" t="s">
        <v>204</v>
      </c>
    </row>
    <row r="17" customFormat="false" ht="15" hidden="false" customHeight="false" outlineLevel="0" collapsed="false">
      <c r="B17" s="15" t="s">
        <v>205</v>
      </c>
      <c r="C17" s="47"/>
      <c r="D17" s="48" t="n">
        <v>150</v>
      </c>
      <c r="E17" s="48" t="n">
        <v>150</v>
      </c>
      <c r="F17" s="48" t="n">
        <v>150</v>
      </c>
      <c r="G17" s="48" t="n">
        <v>150</v>
      </c>
      <c r="H17" s="48" t="n">
        <v>120</v>
      </c>
      <c r="I17" s="48" t="n">
        <v>120</v>
      </c>
      <c r="J17" s="48" t="n">
        <v>100</v>
      </c>
      <c r="K17" s="48" t="n">
        <v>100</v>
      </c>
      <c r="L17" s="47"/>
      <c r="M17" s="47"/>
      <c r="N17" s="36" t="s">
        <v>206</v>
      </c>
    </row>
    <row r="18" customFormat="false" ht="15" hidden="false" customHeight="false" outlineLevel="0" collapsed="false">
      <c r="B18" s="13" t="s">
        <v>207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15" hidden="false" customHeight="false" outlineLevel="0" collapsed="false">
      <c r="B19" s="15" t="s">
        <v>208</v>
      </c>
      <c r="C19" s="35"/>
      <c r="D19" s="34" t="n">
        <v>0.05</v>
      </c>
      <c r="E19" s="34" t="n">
        <v>0.1</v>
      </c>
      <c r="F19" s="34" t="n">
        <v>0.15</v>
      </c>
      <c r="G19" s="34" t="n">
        <v>0.15</v>
      </c>
      <c r="H19" s="34" t="n">
        <v>0.15</v>
      </c>
      <c r="I19" s="34" t="n">
        <v>0.12</v>
      </c>
      <c r="J19" s="34" t="n">
        <v>0.1</v>
      </c>
      <c r="K19" s="34" t="n">
        <v>0.08</v>
      </c>
      <c r="L19" s="35"/>
      <c r="M19" s="35"/>
      <c r="N19" s="36" t="s">
        <v>209</v>
      </c>
    </row>
    <row r="20" customFormat="false" ht="15" hidden="false" customHeight="false" outlineLevel="0" collapsed="false">
      <c r="B20" s="15" t="s">
        <v>210</v>
      </c>
      <c r="C20" s="47"/>
      <c r="D20" s="48" t="n">
        <v>150</v>
      </c>
      <c r="E20" s="48" t="n">
        <v>250</v>
      </c>
      <c r="F20" s="48" t="n">
        <v>300</v>
      </c>
      <c r="G20" s="48" t="n">
        <v>300</v>
      </c>
      <c r="H20" s="48" t="n">
        <v>250</v>
      </c>
      <c r="I20" s="48" t="n">
        <v>200</v>
      </c>
      <c r="J20" s="48" t="n">
        <v>150</v>
      </c>
      <c r="K20" s="48" t="n">
        <v>100</v>
      </c>
      <c r="L20" s="47"/>
      <c r="M20" s="47"/>
      <c r="N20" s="36" t="s">
        <v>211</v>
      </c>
    </row>
    <row r="21" customFormat="false" ht="15" hidden="false" customHeight="false" outlineLevel="0" collapsed="false">
      <c r="B21" s="15" t="s">
        <v>212</v>
      </c>
      <c r="C21" s="33" t="n">
        <v>0.758</v>
      </c>
      <c r="D21" s="34" t="n">
        <v>0.75</v>
      </c>
      <c r="E21" s="34" t="n">
        <v>0.76</v>
      </c>
      <c r="F21" s="34" t="n">
        <v>0.77</v>
      </c>
      <c r="G21" s="34" t="n">
        <v>0.78</v>
      </c>
      <c r="H21" s="34" t="n">
        <v>0.78</v>
      </c>
      <c r="I21" s="34" t="n">
        <v>0.78</v>
      </c>
      <c r="J21" s="34" t="n">
        <v>0.78</v>
      </c>
      <c r="K21" s="34" t="n">
        <v>0.78</v>
      </c>
      <c r="L21" s="35"/>
      <c r="M21" s="35"/>
      <c r="N21" s="36" t="s">
        <v>213</v>
      </c>
    </row>
    <row r="22" customFormat="false" ht="15" hidden="false" customHeight="false" outlineLevel="0" collapsed="false">
      <c r="B22" s="15" t="s">
        <v>214</v>
      </c>
      <c r="C22" s="47"/>
      <c r="D22" s="48" t="n">
        <v>1000</v>
      </c>
      <c r="E22" s="48" t="n">
        <v>500</v>
      </c>
      <c r="F22" s="48" t="n">
        <v>-1500</v>
      </c>
      <c r="G22" s="48" t="n">
        <v>-3000</v>
      </c>
      <c r="H22" s="48" t="n">
        <v>-2000</v>
      </c>
      <c r="I22" s="48" t="n">
        <v>0</v>
      </c>
      <c r="J22" s="48" t="n">
        <v>500</v>
      </c>
      <c r="K22" s="48" t="n">
        <v>1000</v>
      </c>
      <c r="L22" s="47"/>
      <c r="M22" s="47"/>
      <c r="N22" s="36" t="s">
        <v>215</v>
      </c>
    </row>
    <row r="23" customFormat="false" ht="15" hidden="false" customHeight="false" outlineLevel="0" collapsed="false">
      <c r="B23" s="15" t="s">
        <v>216</v>
      </c>
      <c r="C23" s="35"/>
      <c r="D23" s="34" t="n">
        <v>0.015</v>
      </c>
      <c r="E23" s="34" t="n">
        <v>0.01</v>
      </c>
      <c r="F23" s="34" t="n">
        <v>0.005</v>
      </c>
      <c r="G23" s="34" t="n">
        <v>0.005</v>
      </c>
      <c r="H23" s="34" t="n">
        <v>0.008</v>
      </c>
      <c r="I23" s="34" t="n">
        <v>0.01</v>
      </c>
      <c r="J23" s="34" t="n">
        <v>0.015</v>
      </c>
      <c r="K23" s="34" t="n">
        <v>0.018</v>
      </c>
      <c r="L23" s="35"/>
      <c r="M23" s="35"/>
      <c r="N23" s="36" t="s">
        <v>217</v>
      </c>
    </row>
    <row r="24" customFormat="false" ht="15" hidden="false" customHeight="false" outlineLevel="0" collapsed="false">
      <c r="B24" s="13" t="s">
        <v>218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22.35" hidden="false" customHeight="false" outlineLevel="0" collapsed="false">
      <c r="B25" s="15" t="s">
        <v>219</v>
      </c>
      <c r="C25" s="47"/>
      <c r="D25" s="48" t="n">
        <v>0</v>
      </c>
      <c r="E25" s="48" t="n">
        <v>8568</v>
      </c>
      <c r="F25" s="48" t="n">
        <v>0</v>
      </c>
      <c r="G25" s="48" t="n">
        <v>0</v>
      </c>
      <c r="H25" s="48" t="n">
        <v>0</v>
      </c>
      <c r="I25" s="48" t="n">
        <v>7140</v>
      </c>
      <c r="J25" s="48" t="n">
        <v>0</v>
      </c>
      <c r="K25" s="48" t="n">
        <v>0</v>
      </c>
      <c r="L25" s="47"/>
      <c r="M25" s="47"/>
      <c r="N25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70"/>
    <col collapsed="false" customWidth="true" hidden="false" outlineLevel="0" max="13" min="7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221</v>
      </c>
    </row>
    <row r="2" customFormat="false" ht="15" hidden="false" customHeight="false" outlineLevel="0" collapsed="false">
      <c r="A2" s="10" t="s">
        <v>222</v>
      </c>
    </row>
    <row r="4" customFormat="false" ht="15" hidden="false" customHeight="false" outlineLevel="0" collapsed="false">
      <c r="B4" s="25" t="s">
        <v>223</v>
      </c>
      <c r="C4" s="25" t="s">
        <v>224</v>
      </c>
      <c r="D4" s="25" t="s">
        <v>225</v>
      </c>
      <c r="E4" s="25" t="s">
        <v>226</v>
      </c>
      <c r="F4" s="25" t="s">
        <v>227</v>
      </c>
    </row>
    <row r="5" customFormat="false" ht="15" hidden="false" customHeight="false" outlineLevel="0" collapsed="false">
      <c r="B5" s="13" t="s">
        <v>228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41</v>
      </c>
      <c r="C6" s="51" t="n">
        <v>81164</v>
      </c>
      <c r="D6" s="51" t="n">
        <v>88075</v>
      </c>
      <c r="E6" s="35" t="n">
        <f aca="false">IFERROR(D6/C6-1,"")</f>
        <v>0.0851485880439604</v>
      </c>
      <c r="F6" s="18" t="s">
        <v>229</v>
      </c>
    </row>
    <row r="7" customFormat="false" ht="15" hidden="false" customHeight="false" outlineLevel="0" collapsed="false">
      <c r="B7" s="15" t="s">
        <v>230</v>
      </c>
      <c r="C7" s="52" t="n">
        <f aca="false">C9+C8-C6</f>
        <v>28443.3178807947</v>
      </c>
      <c r="D7" s="52" t="n">
        <f aca="false">D9+D8-D6</f>
        <v>30758</v>
      </c>
      <c r="E7" s="35" t="n">
        <f aca="false">IFERROR(D7/C7-1,"")</f>
        <v>0.0813787663206551</v>
      </c>
      <c r="F7" s="18" t="s">
        <v>231</v>
      </c>
    </row>
    <row r="8" customFormat="false" ht="15" hidden="false" customHeight="false" outlineLevel="0" collapsed="false">
      <c r="B8" s="15" t="s">
        <v>232</v>
      </c>
      <c r="C8" s="51" t="n">
        <v>42372</v>
      </c>
      <c r="D8" s="51" t="n">
        <v>47234</v>
      </c>
      <c r="E8" s="35" t="n">
        <f aca="false">IFERROR(D8/C8-1,"")</f>
        <v>0.114745586708203</v>
      </c>
      <c r="F8" s="18" t="s">
        <v>233</v>
      </c>
    </row>
    <row r="9" customFormat="false" ht="15" hidden="false" customHeight="false" outlineLevel="0" collapsed="false">
      <c r="B9" s="15" t="s">
        <v>234</v>
      </c>
      <c r="C9" s="52" t="n">
        <f aca="false">C11+C10</f>
        <v>67235.3178807947</v>
      </c>
      <c r="D9" s="51" t="n">
        <v>71599</v>
      </c>
      <c r="E9" s="35" t="n">
        <f aca="false">IFERROR(D9/C9-1,"")</f>
        <v>0.0649016358774703</v>
      </c>
      <c r="F9" s="18" t="s">
        <v>235</v>
      </c>
    </row>
    <row r="10" customFormat="false" ht="15" hidden="false" customHeight="false" outlineLevel="0" collapsed="false">
      <c r="B10" s="15" t="s">
        <v>236</v>
      </c>
      <c r="C10" s="51" t="n">
        <v>4683</v>
      </c>
      <c r="D10" s="51" t="n">
        <v>5380</v>
      </c>
      <c r="E10" s="35" t="n">
        <f aca="false">IFERROR(D10/C10-1,"")</f>
        <v>0.14883621610079</v>
      </c>
      <c r="F10" s="18" t="s">
        <v>237</v>
      </c>
    </row>
    <row r="11" customFormat="false" ht="15" hidden="false" customHeight="false" outlineLevel="0" collapsed="false">
      <c r="B11" s="15" t="s">
        <v>238</v>
      </c>
      <c r="C11" s="52" t="n">
        <f aca="false">C12+C13</f>
        <v>62552.3178807947</v>
      </c>
      <c r="D11" s="52" t="n">
        <f aca="false">D9-D10</f>
        <v>66219</v>
      </c>
      <c r="E11" s="35" t="n">
        <f aca="false">IFERROR(D11/C11-1,"")</f>
        <v>0.0586178457238444</v>
      </c>
      <c r="F11" s="18" t="s">
        <v>239</v>
      </c>
    </row>
    <row r="12" customFormat="false" ht="15" hidden="false" customHeight="false" outlineLevel="0" collapsed="false">
      <c r="B12" s="15" t="s">
        <v>240</v>
      </c>
      <c r="C12" s="52" t="n">
        <f aca="false">C13/(1-0.245)*0.245</f>
        <v>15325.3178807947</v>
      </c>
      <c r="D12" s="52" t="n">
        <f aca="false">D11-D13</f>
        <v>16072</v>
      </c>
      <c r="E12" s="35" t="n">
        <f aca="false">IFERROR(D12/C12-1,"")</f>
        <v>0.0487221292904483</v>
      </c>
      <c r="F12" s="18" t="s">
        <v>241</v>
      </c>
    </row>
    <row r="13" customFormat="false" ht="15" hidden="false" customHeight="false" outlineLevel="0" collapsed="false">
      <c r="B13" s="15" t="s">
        <v>44</v>
      </c>
      <c r="C13" s="51" t="n">
        <v>47227</v>
      </c>
      <c r="D13" s="51" t="n">
        <v>50147</v>
      </c>
      <c r="E13" s="35" t="n">
        <f aca="false">IFERROR(D13/C13-1,"")</f>
        <v>0.0618290384737543</v>
      </c>
      <c r="F13" s="18" t="s">
        <v>242</v>
      </c>
    </row>
    <row r="14" customFormat="false" ht="15" hidden="false" customHeight="false" outlineLevel="0" collapsed="false">
      <c r="B14" s="13" t="s">
        <v>243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15" hidden="false" customHeight="false" outlineLevel="0" collapsed="false">
      <c r="B15" s="15" t="s">
        <v>244</v>
      </c>
      <c r="C15" s="51" t="n">
        <v>2118240</v>
      </c>
      <c r="D15" s="51" t="n">
        <v>2372531</v>
      </c>
      <c r="E15" s="35" t="n">
        <f aca="false">IFERROR(D15/C15-1,"")</f>
        <v>0.120048247601783</v>
      </c>
      <c r="F15" s="18" t="s">
        <v>245</v>
      </c>
    </row>
    <row r="16" customFormat="false" ht="15" hidden="false" customHeight="false" outlineLevel="0" collapsed="false">
      <c r="B16" s="15" t="s">
        <v>67</v>
      </c>
      <c r="C16" s="51" t="n">
        <v>1610348</v>
      </c>
      <c r="D16" s="51" t="n">
        <v>1794625</v>
      </c>
      <c r="E16" s="35" t="n">
        <f aca="false">IFERROR(D16/C16-1,"")</f>
        <v>0.114433029382469</v>
      </c>
      <c r="F16" s="18" t="s">
        <v>237</v>
      </c>
    </row>
    <row r="17" customFormat="false" ht="15" hidden="false" customHeight="false" outlineLevel="0" collapsed="false">
      <c r="B17" s="15" t="s">
        <v>68</v>
      </c>
      <c r="C17" s="51" t="n">
        <v>1341766</v>
      </c>
      <c r="D17" s="51" t="n">
        <v>1553893</v>
      </c>
      <c r="E17" s="35" t="n">
        <f aca="false">IFERROR(D17/C17-1,"")</f>
        <v>0.15809537579578</v>
      </c>
      <c r="F17" s="18" t="s">
        <v>237</v>
      </c>
    </row>
    <row r="18" customFormat="false" ht="15" hidden="false" customHeight="false" outlineLevel="0" collapsed="false">
      <c r="B18" s="13" t="s">
        <v>246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15" hidden="false" customHeight="false" outlineLevel="0" collapsed="false">
      <c r="B19" s="15" t="s">
        <v>55</v>
      </c>
      <c r="C19" s="37" t="n">
        <v>0.0167</v>
      </c>
      <c r="D19" s="37" t="n">
        <v>0.014</v>
      </c>
      <c r="E19" s="53" t="n">
        <f aca="false">IFERROR((D19-C19)*10000,"")</f>
        <v>-27</v>
      </c>
      <c r="F19" s="18" t="s">
        <v>237</v>
      </c>
    </row>
    <row r="20" customFormat="false" ht="15" hidden="false" customHeight="false" outlineLevel="0" collapsed="false">
      <c r="B20" s="15" t="s">
        <v>56</v>
      </c>
      <c r="C20" s="37" t="n">
        <v>0.0039</v>
      </c>
      <c r="D20" s="37" t="n">
        <v>0.0033</v>
      </c>
      <c r="E20" s="53" t="n">
        <f aca="false">IFERROR((D20-C20)*10000,"")</f>
        <v>-6</v>
      </c>
      <c r="F20" s="18" t="s">
        <v>237</v>
      </c>
    </row>
    <row r="21" customFormat="false" ht="15" hidden="false" customHeight="false" outlineLevel="0" collapsed="false">
      <c r="B21" s="15" t="s">
        <v>247</v>
      </c>
      <c r="C21" s="39"/>
      <c r="D21" s="37" t="n">
        <v>0.758</v>
      </c>
      <c r="E21" s="53" t="n">
        <f aca="false">IFERROR((D21-C21)*10000,"")</f>
        <v>7580</v>
      </c>
      <c r="F21" s="18" t="s">
        <v>237</v>
      </c>
    </row>
    <row r="22" customFormat="false" ht="15" hidden="false" customHeight="false" outlineLevel="0" collapsed="false">
      <c r="B22" s="15" t="s">
        <v>248</v>
      </c>
      <c r="C22" s="37" t="n">
        <v>0.1655</v>
      </c>
      <c r="D22" s="37" t="n">
        <v>0.1718</v>
      </c>
      <c r="E22" s="53" t="n">
        <f aca="false">IFERROR((D22-C22)*10000,"")</f>
        <v>63</v>
      </c>
      <c r="F22" s="18" t="s">
        <v>249</v>
      </c>
    </row>
    <row r="23" customFormat="false" ht="15" hidden="false" customHeight="false" outlineLevel="0" collapsed="false">
      <c r="B23" s="15" t="s">
        <v>60</v>
      </c>
      <c r="C23" s="37" t="n">
        <v>0.1594</v>
      </c>
      <c r="D23" s="37" t="n">
        <v>0.1635</v>
      </c>
      <c r="E23" s="53" t="n">
        <f aca="false">IFERROR((D23-C23)*10000,"")</f>
        <v>41.0000000000002</v>
      </c>
      <c r="F23" s="18" t="s">
        <v>250</v>
      </c>
    </row>
    <row r="24" customFormat="false" ht="15" hidden="false" customHeight="false" outlineLevel="0" collapsed="false">
      <c r="B24" s="15" t="s">
        <v>47</v>
      </c>
      <c r="C24" s="37" t="n">
        <v>0.0432</v>
      </c>
      <c r="D24" s="37" t="n">
        <v>0.0432</v>
      </c>
      <c r="E24" s="53" t="n">
        <f aca="false">IFERROR((D24-C24)*10000,"")</f>
        <v>0</v>
      </c>
      <c r="F24" s="18" t="s">
        <v>251</v>
      </c>
    </row>
    <row r="25" customFormat="false" ht="15" hidden="false" customHeight="false" outlineLevel="0" collapsed="false">
      <c r="B25" s="15" t="s">
        <v>252</v>
      </c>
      <c r="C25" s="39"/>
      <c r="D25" s="37" t="n">
        <v>0.414</v>
      </c>
      <c r="E25" s="53" t="n">
        <f aca="false">IFERROR((D25-C25)*10000,"")</f>
        <v>4140</v>
      </c>
      <c r="F25" s="18" t="s">
        <v>237</v>
      </c>
    </row>
    <row r="26" customFormat="false" ht="15" hidden="false" customHeight="false" outlineLevel="0" collapsed="false">
      <c r="B26" s="15" t="s">
        <v>253</v>
      </c>
      <c r="C26" s="47"/>
      <c r="D26" s="51" t="n">
        <v>13100</v>
      </c>
      <c r="E26" s="35" t="str">
        <f aca="false">IFERROR(D26/C26-1,"")</f>
        <v/>
      </c>
      <c r="F26" s="18" t="s">
        <v>254</v>
      </c>
    </row>
    <row r="27" customFormat="false" ht="15" hidden="false" customHeight="false" outlineLevel="0" collapsed="false">
      <c r="B27" s="15" t="s">
        <v>255</v>
      </c>
      <c r="C27" s="51" t="n">
        <v>6983</v>
      </c>
      <c r="D27" s="51" t="n">
        <v>7511</v>
      </c>
      <c r="E27" s="35" t="n">
        <f aca="false">IFERROR(D27/C27-1,"")</f>
        <v>0.0756122010597164</v>
      </c>
      <c r="F27" s="18" t="s">
        <v>237</v>
      </c>
    </row>
    <row r="28" customFormat="false" ht="15" hidden="false" customHeight="false" outlineLevel="0" collapsed="false">
      <c r="B28" s="15" t="s">
        <v>256</v>
      </c>
      <c r="C28" s="51" t="n">
        <v>11</v>
      </c>
      <c r="D28" s="51" t="n">
        <v>12</v>
      </c>
      <c r="E28" s="35" t="n">
        <f aca="false">IFERROR(D28/C28-1,"")</f>
        <v>0.0909090909090908</v>
      </c>
      <c r="F28" s="18" t="s">
        <v>257</v>
      </c>
    </row>
    <row r="30" customFormat="false" ht="15" hidden="false" customHeight="false" outlineLevel="0" collapsed="false">
      <c r="B30" s="10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259</v>
      </c>
    </row>
    <row r="2" customFormat="false" ht="15" hidden="false" customHeight="false" outlineLevel="0" collapsed="false">
      <c r="A2" s="10" t="s">
        <v>260</v>
      </c>
    </row>
    <row r="4" customFormat="false" ht="27.75" hidden="false" customHeight="true" outlineLevel="0" collapsed="false">
      <c r="B4" s="31" t="s">
        <v>128</v>
      </c>
      <c r="C4" s="32" t="s">
        <v>261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36</v>
      </c>
      <c r="M4" s="32" t="s">
        <v>37</v>
      </c>
      <c r="N4" s="32" t="s">
        <v>138</v>
      </c>
    </row>
    <row r="5" customFormat="false" ht="15" hidden="false" customHeight="false" outlineLevel="0" collapsed="false">
      <c r="B5" s="13" t="s">
        <v>262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185</v>
      </c>
      <c r="C6" s="47" t="n">
        <f aca="false">Baseline!D17*0.384</f>
        <v>596694.912</v>
      </c>
      <c r="D6" s="47" t="n">
        <f aca="false">C6*(1+Decisions!D6)</f>
        <v>608628.81024</v>
      </c>
      <c r="E6" s="47" t="n">
        <f aca="false">D6*(1+Decisions!E6)</f>
        <v>619584.12882432</v>
      </c>
      <c r="F6" s="47" t="n">
        <f aca="false">E6*(1+Decisions!F6)</f>
        <v>628877.890756685</v>
      </c>
      <c r="G6" s="47" t="n">
        <f aca="false">F6*(1+Decisions!G6)</f>
        <v>638311.059118035</v>
      </c>
      <c r="H6" s="47" t="n">
        <f aca="false">G6*(1+Decisions!H6)</f>
        <v>649800.65818216</v>
      </c>
      <c r="I6" s="47" t="n">
        <f aca="false">H6*(1+Decisions!I6)</f>
        <v>662796.671345803</v>
      </c>
      <c r="J6" s="47" t="n">
        <f aca="false">I6*(1+Decisions!J6)</f>
        <v>678040.994786756</v>
      </c>
      <c r="K6" s="47" t="n">
        <f aca="false">J6*(1+Decisions!K6)</f>
        <v>694992.019656425</v>
      </c>
      <c r="L6" s="47" t="n">
        <f aca="false">G6</f>
        <v>638311.059118035</v>
      </c>
      <c r="M6" s="47" t="n">
        <f aca="false">K6</f>
        <v>694992.019656425</v>
      </c>
      <c r="N6" s="36" t="s">
        <v>263</v>
      </c>
    </row>
    <row r="7" customFormat="false" ht="15" hidden="false" customHeight="false" outlineLevel="0" collapsed="false">
      <c r="B7" s="15" t="s">
        <v>264</v>
      </c>
      <c r="C7" s="47" t="n">
        <f aca="false">Baseline!D17*0.12</f>
        <v>186467.16</v>
      </c>
      <c r="D7" s="47" t="n">
        <f aca="false">C7*(1+Decisions!D7)</f>
        <v>184602.4884</v>
      </c>
      <c r="E7" s="47" t="n">
        <f aca="false">D7*(1+Decisions!E7)</f>
        <v>179987.42619</v>
      </c>
      <c r="F7" s="47" t="n">
        <f aca="false">E7*(1+Decisions!F7)</f>
        <v>174587.8034043</v>
      </c>
      <c r="G7" s="47" t="n">
        <f aca="false">F7*(1+Decisions!G7)</f>
        <v>171096.047336214</v>
      </c>
      <c r="H7" s="47" t="n">
        <f aca="false">G7*(1+Decisions!H7)</f>
        <v>169385.086862852</v>
      </c>
      <c r="I7" s="47" t="n">
        <f aca="false">H7*(1+Decisions!I7)</f>
        <v>169385.086862852</v>
      </c>
      <c r="J7" s="47" t="n">
        <f aca="false">I7*(1+Decisions!J7)</f>
        <v>171078.93773148</v>
      </c>
      <c r="K7" s="47" t="n">
        <f aca="false">J7*(1+Decisions!K7)</f>
        <v>173645.121797453</v>
      </c>
      <c r="L7" s="47" t="n">
        <f aca="false">G7</f>
        <v>171096.047336214</v>
      </c>
      <c r="M7" s="47" t="n">
        <f aca="false">K7</f>
        <v>173645.121797453</v>
      </c>
      <c r="N7" s="36" t="s">
        <v>265</v>
      </c>
    </row>
    <row r="8" customFormat="false" ht="15" hidden="false" customHeight="false" outlineLevel="0" collapsed="false">
      <c r="B8" s="15" t="s">
        <v>189</v>
      </c>
      <c r="C8" s="47" t="n">
        <f aca="false">Baseline!D17*0.194</f>
        <v>301455.242</v>
      </c>
      <c r="D8" s="47" t="n">
        <f aca="false">C8*(1+Decisions!D8)</f>
        <v>307484.34684</v>
      </c>
      <c r="E8" s="47" t="n">
        <f aca="false">D8*(1+Decisions!E8)</f>
        <v>310559.1903084</v>
      </c>
      <c r="F8" s="47" t="n">
        <f aca="false">E8*(1+Decisions!F8)</f>
        <v>312111.986259942</v>
      </c>
      <c r="G8" s="47" t="n">
        <f aca="false">F8*(1+Decisions!G8)</f>
        <v>313672.546191242</v>
      </c>
      <c r="H8" s="47" t="n">
        <f aca="false">G8*(1+Decisions!H8)</f>
        <v>316809.271653154</v>
      </c>
      <c r="I8" s="47" t="n">
        <f aca="false">H8*(1+Decisions!I8)</f>
        <v>321561.410727951</v>
      </c>
      <c r="J8" s="47" t="n">
        <f aca="false">I8*(1+Decisions!J8)</f>
        <v>327992.63894251</v>
      </c>
      <c r="K8" s="47" t="n">
        <f aca="false">J8*(1+Decisions!K8)</f>
        <v>336192.454916073</v>
      </c>
      <c r="L8" s="47" t="n">
        <f aca="false">G8</f>
        <v>313672.546191242</v>
      </c>
      <c r="M8" s="47" t="n">
        <f aca="false">K8</f>
        <v>336192.454916073</v>
      </c>
      <c r="N8" s="36" t="s">
        <v>266</v>
      </c>
    </row>
    <row r="9" customFormat="false" ht="15" hidden="false" customHeight="false" outlineLevel="0" collapsed="false">
      <c r="B9" s="15" t="s">
        <v>191</v>
      </c>
      <c r="C9" s="47" t="n">
        <f aca="false">Baseline!D17*0.058</f>
        <v>90125.794</v>
      </c>
      <c r="D9" s="47" t="n">
        <f aca="false">C9*(1+Decisions!D9)</f>
        <v>91027.05194</v>
      </c>
      <c r="E9" s="47" t="n">
        <f aca="false">D9*(1+Decisions!E9)</f>
        <v>91027.05194</v>
      </c>
      <c r="F9" s="47" t="n">
        <f aca="false">E9*(1+Decisions!F9)</f>
        <v>90571.9166803</v>
      </c>
      <c r="G9" s="47" t="n">
        <f aca="false">F9*(1+Decisions!G9)</f>
        <v>90571.9166803</v>
      </c>
      <c r="H9" s="47" t="n">
        <f aca="false">G9*(1+Decisions!H9)</f>
        <v>91024.7762637015</v>
      </c>
      <c r="I9" s="47" t="n">
        <f aca="false">H9*(1+Decisions!I9)</f>
        <v>91935.0240263385</v>
      </c>
      <c r="J9" s="47" t="n">
        <f aca="false">I9*(1+Decisions!J9)</f>
        <v>93314.0493867336</v>
      </c>
      <c r="K9" s="47" t="n">
        <f aca="false">J9*(1+Decisions!K9)</f>
        <v>95180.3303744683</v>
      </c>
      <c r="L9" s="47" t="n">
        <f aca="false">G9</f>
        <v>90571.9166803</v>
      </c>
      <c r="M9" s="47" t="n">
        <f aca="false">K9</f>
        <v>95180.3303744683</v>
      </c>
      <c r="N9" s="36" t="s">
        <v>267</v>
      </c>
    </row>
    <row r="10" customFormat="false" ht="15" hidden="false" customHeight="false" outlineLevel="0" collapsed="false">
      <c r="B10" s="15" t="s">
        <v>193</v>
      </c>
      <c r="C10" s="47" t="n">
        <f aca="false">Baseline!D17*0.244</f>
        <v>379149.892</v>
      </c>
      <c r="D10" s="47" t="n">
        <f aca="false">C10*(1+Decisions!D10)</f>
        <v>388628.6393</v>
      </c>
      <c r="E10" s="47" t="n">
        <f aca="false">D10*(1+Decisions!E10)</f>
        <v>398344.3552825</v>
      </c>
      <c r="F10" s="47" t="n">
        <f aca="false">E10*(1+Decisions!F10)</f>
        <v>406311.24238815</v>
      </c>
      <c r="G10" s="47" t="n">
        <f aca="false">F10*(1+Decisions!G10)</f>
        <v>414437.467235913</v>
      </c>
      <c r="H10" s="47" t="n">
        <f aca="false">G10*(1+Decisions!H10)</f>
        <v>422726.216580631</v>
      </c>
      <c r="I10" s="47" t="n">
        <f aca="false">H10*(1+Decisions!I10)</f>
        <v>431180.740912244</v>
      </c>
      <c r="J10" s="47" t="n">
        <f aca="false">I10*(1+Decisions!J10)</f>
        <v>439804.355730489</v>
      </c>
      <c r="K10" s="47" t="n">
        <f aca="false">J10*(1+Decisions!K10)</f>
        <v>448600.442845099</v>
      </c>
      <c r="L10" s="47" t="n">
        <f aca="false">G10</f>
        <v>414437.467235913</v>
      </c>
      <c r="M10" s="47" t="n">
        <f aca="false">K10</f>
        <v>448600.442845099</v>
      </c>
      <c r="N10" s="36" t="s">
        <v>268</v>
      </c>
    </row>
    <row r="11" customFormat="false" ht="15" hidden="false" customHeight="false" outlineLevel="0" collapsed="false">
      <c r="B11" s="54" t="s">
        <v>269</v>
      </c>
      <c r="C11" s="55" t="n">
        <f aca="false">SUM(C6:C10)</f>
        <v>1553893</v>
      </c>
      <c r="D11" s="55" t="n">
        <f aca="false">SUM(D6:D10)</f>
        <v>1580371.33672</v>
      </c>
      <c r="E11" s="55" t="n">
        <f aca="false">SUM(E6:E10)</f>
        <v>1599502.15254522</v>
      </c>
      <c r="F11" s="55" t="n">
        <f aca="false">SUM(F6:F10)</f>
        <v>1612460.83948938</v>
      </c>
      <c r="G11" s="55" t="n">
        <f aca="false">SUM(G6:G10)</f>
        <v>1628089.0365617</v>
      </c>
      <c r="H11" s="55" t="n">
        <f aca="false">SUM(H6:H10)</f>
        <v>1649746.0095425</v>
      </c>
      <c r="I11" s="55" t="n">
        <f aca="false">SUM(I6:I10)</f>
        <v>1676858.93387519</v>
      </c>
      <c r="J11" s="55" t="n">
        <f aca="false">SUM(J6:J10)</f>
        <v>1710230.97657797</v>
      </c>
      <c r="K11" s="55" t="n">
        <f aca="false">SUM(K6:K10)</f>
        <v>1748610.36958952</v>
      </c>
      <c r="L11" s="55" t="n">
        <f aca="false">G11</f>
        <v>1628089.0365617</v>
      </c>
      <c r="M11" s="55" t="n">
        <f aca="false">K11</f>
        <v>1748610.36958952</v>
      </c>
      <c r="N11" s="19"/>
    </row>
    <row r="12" customFormat="false" ht="15" hidden="false" customHeight="false" outlineLevel="0" collapsed="false">
      <c r="B12" s="15" t="s">
        <v>270</v>
      </c>
      <c r="C12" s="35"/>
      <c r="D12" s="35" t="n">
        <f aca="false">D11/C11-1</f>
        <v>0.0170399999999999</v>
      </c>
      <c r="E12" s="35" t="n">
        <f aca="false">E11/D11-1</f>
        <v>0.0121052662628804</v>
      </c>
      <c r="F12" s="35" t="n">
        <f aca="false">F11/E11-1</f>
        <v>0.00810170022186973</v>
      </c>
      <c r="G12" s="35" t="n">
        <f aca="false">G11/F11-1</f>
        <v>0.00969214054046486</v>
      </c>
      <c r="H12" s="35" t="n">
        <f aca="false">H11/G11-1</f>
        <v>0.0133020814552816</v>
      </c>
      <c r="I12" s="35" t="n">
        <f aca="false">I11/H11-1</f>
        <v>0.0164346051912614</v>
      </c>
      <c r="J12" s="35" t="n">
        <f aca="false">J11/I11-1</f>
        <v>0.0199015206518649</v>
      </c>
      <c r="K12" s="35" t="n">
        <f aca="false">K11/J11-1</f>
        <v>0.0224410582764336</v>
      </c>
      <c r="L12" s="35" t="n">
        <f aca="false">G11/C11-1</f>
        <v>0.047748484974</v>
      </c>
      <c r="M12" s="35" t="n">
        <f aca="false">K11/G11-1</f>
        <v>0.0740262542903292</v>
      </c>
      <c r="N12" s="19"/>
    </row>
    <row r="13" customFormat="false" ht="15" hidden="false" customHeight="false" outlineLevel="0" collapsed="false">
      <c r="B13" s="15" t="s">
        <v>271</v>
      </c>
      <c r="C13" s="35" t="n">
        <f aca="false">C7/C11</f>
        <v>0.12</v>
      </c>
      <c r="D13" s="35" t="n">
        <f aca="false">D7/D11</f>
        <v>0.116809565012192</v>
      </c>
      <c r="E13" s="35" t="n">
        <f aca="false">E7/E11</f>
        <v>0.112527154717231</v>
      </c>
      <c r="F13" s="35" t="n">
        <f aca="false">F7/F11</f>
        <v>0.108274135488207</v>
      </c>
      <c r="G13" s="35" t="n">
        <f aca="false">G7/G11</f>
        <v>0.105090104714141</v>
      </c>
      <c r="H13" s="35" t="n">
        <f aca="false">H7/H11</f>
        <v>0.102673433294029</v>
      </c>
      <c r="I13" s="35" t="n">
        <f aca="false">I7/I11</f>
        <v>0.101013319272723</v>
      </c>
      <c r="J13" s="35" t="n">
        <f aca="false">J7/J11</f>
        <v>0.100032650603602</v>
      </c>
      <c r="K13" s="35" t="n">
        <f aca="false">K7/K11</f>
        <v>0.0993046391679671</v>
      </c>
      <c r="L13" s="35" t="n">
        <f aca="false">G7/G11</f>
        <v>0.105090104714141</v>
      </c>
      <c r="M13" s="35" t="n">
        <f aca="false">K7/K11</f>
        <v>0.0993046391679671</v>
      </c>
      <c r="N13" s="19"/>
    </row>
    <row r="14" customFormat="false" ht="15" hidden="false" customHeight="false" outlineLevel="0" collapsed="false">
      <c r="B14" s="13" t="s">
        <v>272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15" hidden="false" customHeight="false" outlineLevel="0" collapsed="false">
      <c r="B15" s="15" t="s">
        <v>273</v>
      </c>
      <c r="C15" s="47"/>
      <c r="D15" s="47" t="n">
        <f aca="false">AVERAGE(C6,D6)</f>
        <v>602661.86112</v>
      </c>
      <c r="E15" s="47" t="n">
        <f aca="false">AVERAGE(D6,E6)</f>
        <v>614106.46953216</v>
      </c>
      <c r="F15" s="47" t="n">
        <f aca="false">AVERAGE(E6,F6)</f>
        <v>624231.009790503</v>
      </c>
      <c r="G15" s="47" t="n">
        <f aca="false">AVERAGE(F6,G6)</f>
        <v>633594.47493736</v>
      </c>
      <c r="H15" s="47" t="n">
        <f aca="false">AVERAGE(G6,H6)</f>
        <v>644055.858650097</v>
      </c>
      <c r="I15" s="47" t="n">
        <f aca="false">AVERAGE(H6,I6)</f>
        <v>656298.664763981</v>
      </c>
      <c r="J15" s="47" t="n">
        <f aca="false">AVERAGE(I6,J6)</f>
        <v>670418.83306628</v>
      </c>
      <c r="K15" s="47" t="n">
        <f aca="false">AVERAGE(J6,K6)</f>
        <v>686516.507221591</v>
      </c>
      <c r="L15" s="47" t="n">
        <f aca="false">AVERAGE(D15:G15)</f>
        <v>618648.453845006</v>
      </c>
      <c r="M15" s="47" t="n">
        <f aca="false">AVERAGE(H15:K15)</f>
        <v>664322.465925487</v>
      </c>
      <c r="N15" s="19"/>
    </row>
    <row r="16" customFormat="false" ht="15" hidden="false" customHeight="false" outlineLevel="0" collapsed="false">
      <c r="B16" s="15" t="s">
        <v>274</v>
      </c>
      <c r="C16" s="47"/>
      <c r="D16" s="47" t="n">
        <f aca="false">AVERAGE(C7,D7)</f>
        <v>185534.8242</v>
      </c>
      <c r="E16" s="47" t="n">
        <f aca="false">AVERAGE(D7,E7)</f>
        <v>182294.957295</v>
      </c>
      <c r="F16" s="47" t="n">
        <f aca="false">AVERAGE(E7,F7)</f>
        <v>177287.61479715</v>
      </c>
      <c r="G16" s="47" t="n">
        <f aca="false">AVERAGE(F7,G7)</f>
        <v>172841.925370257</v>
      </c>
      <c r="H16" s="47" t="n">
        <f aca="false">AVERAGE(G7,H7)</f>
        <v>170240.567099533</v>
      </c>
      <c r="I16" s="47" t="n">
        <f aca="false">AVERAGE(H7,I7)</f>
        <v>169385.086862852</v>
      </c>
      <c r="J16" s="47" t="n">
        <f aca="false">AVERAGE(I7,J7)</f>
        <v>170232.012297166</v>
      </c>
      <c r="K16" s="47" t="n">
        <f aca="false">AVERAGE(J7,K7)</f>
        <v>172362.029764466</v>
      </c>
      <c r="L16" s="47" t="n">
        <f aca="false">AVERAGE(D16:G16)</f>
        <v>179489.830415602</v>
      </c>
      <c r="M16" s="47" t="n">
        <f aca="false">AVERAGE(H16:K16)</f>
        <v>170554.924006004</v>
      </c>
      <c r="N16" s="19"/>
    </row>
    <row r="17" customFormat="false" ht="15" hidden="false" customHeight="false" outlineLevel="0" collapsed="false">
      <c r="B17" s="15" t="s">
        <v>275</v>
      </c>
      <c r="C17" s="47"/>
      <c r="D17" s="47" t="n">
        <f aca="false">AVERAGE(C8,D8)</f>
        <v>304469.79442</v>
      </c>
      <c r="E17" s="47" t="n">
        <f aca="false">AVERAGE(D8,E8)</f>
        <v>309021.7685742</v>
      </c>
      <c r="F17" s="47" t="n">
        <f aca="false">AVERAGE(E8,F8)</f>
        <v>311335.588284171</v>
      </c>
      <c r="G17" s="47" t="n">
        <f aca="false">AVERAGE(F8,G8)</f>
        <v>312892.266225592</v>
      </c>
      <c r="H17" s="47" t="n">
        <f aca="false">AVERAGE(G8,H8)</f>
        <v>315240.908922198</v>
      </c>
      <c r="I17" s="47" t="n">
        <f aca="false">AVERAGE(H8,I8)</f>
        <v>319185.341190553</v>
      </c>
      <c r="J17" s="47" t="n">
        <f aca="false">AVERAGE(I8,J8)</f>
        <v>324777.024835231</v>
      </c>
      <c r="K17" s="47" t="n">
        <f aca="false">AVERAGE(J8,K8)</f>
        <v>332092.546929292</v>
      </c>
      <c r="L17" s="47" t="n">
        <f aca="false">AVERAGE(D17:G17)</f>
        <v>309429.854375991</v>
      </c>
      <c r="M17" s="47" t="n">
        <f aca="false">AVERAGE(H17:K17)</f>
        <v>322823.955469318</v>
      </c>
      <c r="N17" s="19"/>
    </row>
    <row r="18" customFormat="false" ht="15" hidden="false" customHeight="false" outlineLevel="0" collapsed="false">
      <c r="B18" s="15" t="s">
        <v>276</v>
      </c>
      <c r="C18" s="47"/>
      <c r="D18" s="47" t="n">
        <f aca="false">AVERAGE(C9,D9)</f>
        <v>90576.42297</v>
      </c>
      <c r="E18" s="47" t="n">
        <f aca="false">AVERAGE(D9,E9)</f>
        <v>91027.05194</v>
      </c>
      <c r="F18" s="47" t="n">
        <f aca="false">AVERAGE(E9,F9)</f>
        <v>90799.48431015</v>
      </c>
      <c r="G18" s="47" t="n">
        <f aca="false">AVERAGE(F9,G9)</f>
        <v>90571.9166803</v>
      </c>
      <c r="H18" s="47" t="n">
        <f aca="false">AVERAGE(G9,H9)</f>
        <v>90798.3464720008</v>
      </c>
      <c r="I18" s="47" t="n">
        <f aca="false">AVERAGE(H9,I9)</f>
        <v>91479.90014502</v>
      </c>
      <c r="J18" s="47" t="n">
        <f aca="false">AVERAGE(I9,J9)</f>
        <v>92624.5367065361</v>
      </c>
      <c r="K18" s="47" t="n">
        <f aca="false">AVERAGE(J9,K9)</f>
        <v>94247.1898806009</v>
      </c>
      <c r="L18" s="47" t="n">
        <f aca="false">AVERAGE(D18:G18)</f>
        <v>90743.7189751125</v>
      </c>
      <c r="M18" s="47" t="n">
        <f aca="false">AVERAGE(H18:K18)</f>
        <v>92287.4933010394</v>
      </c>
      <c r="N18" s="19"/>
    </row>
    <row r="19" customFormat="false" ht="15" hidden="false" customHeight="false" outlineLevel="0" collapsed="false">
      <c r="B19" s="15" t="s">
        <v>277</v>
      </c>
      <c r="C19" s="47"/>
      <c r="D19" s="47" t="n">
        <f aca="false">AVERAGE(C10,D10)</f>
        <v>383889.26565</v>
      </c>
      <c r="E19" s="47" t="n">
        <f aca="false">AVERAGE(D10,E10)</f>
        <v>393486.49729125</v>
      </c>
      <c r="F19" s="47" t="n">
        <f aca="false">AVERAGE(E10,F10)</f>
        <v>402327.798835325</v>
      </c>
      <c r="G19" s="47" t="n">
        <f aca="false">AVERAGE(F10,G10)</f>
        <v>410374.354812031</v>
      </c>
      <c r="H19" s="47" t="n">
        <f aca="false">AVERAGE(G10,H10)</f>
        <v>418581.841908272</v>
      </c>
      <c r="I19" s="47" t="n">
        <f aca="false">AVERAGE(H10,I10)</f>
        <v>426953.478746438</v>
      </c>
      <c r="J19" s="47" t="n">
        <f aca="false">AVERAGE(I10,J10)</f>
        <v>435492.548321366</v>
      </c>
      <c r="K19" s="47" t="n">
        <f aca="false">AVERAGE(J10,K10)</f>
        <v>444202.399287794</v>
      </c>
      <c r="L19" s="47" t="n">
        <f aca="false">AVERAGE(D19:G19)</f>
        <v>397519.479147152</v>
      </c>
      <c r="M19" s="47" t="n">
        <f aca="false">AVERAGE(H19:K19)</f>
        <v>431307.567065967</v>
      </c>
      <c r="N19" s="19"/>
    </row>
    <row r="20" customFormat="false" ht="15" hidden="false" customHeight="false" outlineLevel="0" collapsed="false">
      <c r="B20" s="54" t="s">
        <v>278</v>
      </c>
      <c r="C20" s="55"/>
      <c r="D20" s="55" t="n">
        <f aca="false">SUM(D15:D19)</f>
        <v>1567132.16836</v>
      </c>
      <c r="E20" s="55" t="n">
        <f aca="false">SUM(E15:E19)</f>
        <v>1589936.74463261</v>
      </c>
      <c r="F20" s="55" t="n">
        <f aca="false">SUM(F15:F19)</f>
        <v>1605981.4960173</v>
      </c>
      <c r="G20" s="55" t="n">
        <f aca="false">SUM(G15:G19)</f>
        <v>1620274.93802554</v>
      </c>
      <c r="H20" s="55" t="n">
        <f aca="false">SUM(H15:H19)</f>
        <v>1638917.5230521</v>
      </c>
      <c r="I20" s="55" t="n">
        <f aca="false">SUM(I15:I19)</f>
        <v>1663302.47170884</v>
      </c>
      <c r="J20" s="55" t="n">
        <f aca="false">SUM(J15:J19)</f>
        <v>1693544.95522658</v>
      </c>
      <c r="K20" s="55" t="n">
        <f aca="false">SUM(K15:K19)</f>
        <v>1729420.67308374</v>
      </c>
      <c r="L20" s="55" t="n">
        <f aca="false">AVERAGE(D20:G20)</f>
        <v>1595831.33675886</v>
      </c>
      <c r="M20" s="55" t="n">
        <f aca="false">AVERAGE(H20:K20)</f>
        <v>1681296.40576782</v>
      </c>
      <c r="N20" s="19"/>
    </row>
    <row r="21" customFormat="false" ht="15" hidden="false" customHeight="false" outlineLevel="0" collapsed="false">
      <c r="B21" s="13" t="s">
        <v>279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customFormat="false" ht="15" hidden="false" customHeight="false" outlineLevel="0" collapsed="false">
      <c r="B22" s="15" t="s">
        <v>280</v>
      </c>
      <c r="C22" s="37" t="n">
        <v>0.087</v>
      </c>
      <c r="D22" s="39" t="n">
        <f aca="false">$C22+Market!$C$19*Market!D8+Decisions!D13/10000</f>
        <v>0.087</v>
      </c>
      <c r="E22" s="39" t="n">
        <f aca="false">$C22+Market!$C$19*Market!E8+Decisions!E13/10000</f>
        <v>0.0845</v>
      </c>
      <c r="F22" s="39" t="n">
        <f aca="false">$C22+Market!$C$19*Market!F8+Decisions!F13/10000</f>
        <v>0.083</v>
      </c>
      <c r="G22" s="39" t="n">
        <f aca="false">$C22+Market!$C$19*Market!G8+Decisions!G13/10000</f>
        <v>0.0815</v>
      </c>
      <c r="H22" s="39" t="n">
        <f aca="false">$C22+Market!$C$19*Market!H8+Decisions!H13/10000</f>
        <v>0.0815</v>
      </c>
      <c r="I22" s="39" t="n">
        <f aca="false">$C22+Market!$C$19*Market!I8+Decisions!I13/10000</f>
        <v>0.0815</v>
      </c>
      <c r="J22" s="39" t="n">
        <f aca="false">$C22+Market!$C$19*Market!J8+Decisions!J13/10000</f>
        <v>0.0825</v>
      </c>
      <c r="K22" s="39" t="n">
        <f aca="false">$C22+Market!$C$19*Market!K8+Decisions!K13/10000</f>
        <v>0.084</v>
      </c>
      <c r="L22" s="39" t="n">
        <f aca="false">AVERAGE(D22:G22)</f>
        <v>0.084</v>
      </c>
      <c r="M22" s="39" t="n">
        <f aca="false">AVERAGE(H22:K22)</f>
        <v>0.082375</v>
      </c>
      <c r="N22" s="36" t="s">
        <v>281</v>
      </c>
    </row>
    <row r="23" customFormat="false" ht="15" hidden="false" customHeight="false" outlineLevel="0" collapsed="false">
      <c r="B23" s="15" t="s">
        <v>282</v>
      </c>
      <c r="C23" s="37" t="n">
        <v>0.147</v>
      </c>
      <c r="D23" s="39" t="n">
        <f aca="false">$C23+Decisions!D12/10000</f>
        <v>0.147</v>
      </c>
      <c r="E23" s="39" t="n">
        <f aca="false">$C23+Decisions!E12/10000</f>
        <v>0.1495</v>
      </c>
      <c r="F23" s="39" t="n">
        <f aca="false">$C23+Decisions!F12/10000</f>
        <v>0.152</v>
      </c>
      <c r="G23" s="39" t="n">
        <f aca="false">$C23+Decisions!G12/10000</f>
        <v>0.152</v>
      </c>
      <c r="H23" s="39" t="n">
        <f aca="false">$C23+Decisions!H12/10000</f>
        <v>0.152</v>
      </c>
      <c r="I23" s="39" t="n">
        <f aca="false">$C23+Decisions!I12/10000</f>
        <v>0.1495</v>
      </c>
      <c r="J23" s="39" t="n">
        <f aca="false">$C23+Decisions!J12/10000</f>
        <v>0.147</v>
      </c>
      <c r="K23" s="39" t="n">
        <f aca="false">$C23+Decisions!K12/10000</f>
        <v>0.147</v>
      </c>
      <c r="L23" s="39" t="n">
        <f aca="false">AVERAGE(D23:G23)</f>
        <v>0.150125</v>
      </c>
      <c r="M23" s="39" t="n">
        <f aca="false">AVERAGE(H23:K23)</f>
        <v>0.148875</v>
      </c>
      <c r="N23" s="36" t="s">
        <v>283</v>
      </c>
    </row>
    <row r="24" customFormat="false" ht="15" hidden="false" customHeight="false" outlineLevel="0" collapsed="false">
      <c r="B24" s="15" t="s">
        <v>284</v>
      </c>
      <c r="C24" s="37" t="n">
        <v>0.097</v>
      </c>
      <c r="D24" s="39" t="n">
        <f aca="false">$C24+Market!$C$19*Market!D8+Decisions!D12/10000</f>
        <v>0.097</v>
      </c>
      <c r="E24" s="39" t="n">
        <f aca="false">$C24+Market!$C$19*Market!E8+Decisions!E12/10000</f>
        <v>0.098</v>
      </c>
      <c r="F24" s="39" t="n">
        <f aca="false">$C24+Market!$C$19*Market!F8+Decisions!F12/10000</f>
        <v>0.099</v>
      </c>
      <c r="G24" s="39" t="n">
        <f aca="false">$C24+Market!$C$19*Market!G8+Decisions!G12/10000</f>
        <v>0.0975</v>
      </c>
      <c r="H24" s="39" t="n">
        <f aca="false">$C24+Market!$C$19*Market!H8+Decisions!H12/10000</f>
        <v>0.0975</v>
      </c>
      <c r="I24" s="39" t="n">
        <f aca="false">$C24+Market!$C$19*Market!I8+Decisions!I12/10000</f>
        <v>0.095</v>
      </c>
      <c r="J24" s="39" t="n">
        <f aca="false">$C24+Market!$C$19*Market!J8+Decisions!J12/10000</f>
        <v>0.0925</v>
      </c>
      <c r="K24" s="39" t="n">
        <f aca="false">$C24+Market!$C$19*Market!K8+Decisions!K12/10000</f>
        <v>0.094</v>
      </c>
      <c r="L24" s="39" t="n">
        <f aca="false">AVERAGE(D24:G24)</f>
        <v>0.097875</v>
      </c>
      <c r="M24" s="39" t="n">
        <f aca="false">AVERAGE(H24:K24)</f>
        <v>0.09475</v>
      </c>
      <c r="N24" s="36" t="s">
        <v>285</v>
      </c>
    </row>
    <row r="25" customFormat="false" ht="15" hidden="false" customHeight="false" outlineLevel="0" collapsed="false">
      <c r="B25" s="15" t="s">
        <v>286</v>
      </c>
      <c r="C25" s="37" t="n">
        <v>0.102</v>
      </c>
      <c r="D25" s="39" t="n">
        <f aca="false">$C25+Market!$C$19*Market!D8</f>
        <v>0.102</v>
      </c>
      <c r="E25" s="39" t="n">
        <f aca="false">$C25+Market!$C$19*Market!E8</f>
        <v>0.1005</v>
      </c>
      <c r="F25" s="39" t="n">
        <f aca="false">$C25+Market!$C$19*Market!F8</f>
        <v>0.099</v>
      </c>
      <c r="G25" s="39" t="n">
        <f aca="false">$C25+Market!$C$19*Market!G8</f>
        <v>0.0975</v>
      </c>
      <c r="H25" s="39" t="n">
        <f aca="false">$C25+Market!$C$19*Market!H8</f>
        <v>0.0975</v>
      </c>
      <c r="I25" s="39" t="n">
        <f aca="false">$C25+Market!$C$19*Market!I8</f>
        <v>0.0975</v>
      </c>
      <c r="J25" s="39" t="n">
        <f aca="false">$C25+Market!$C$19*Market!J8</f>
        <v>0.0975</v>
      </c>
      <c r="K25" s="39" t="n">
        <f aca="false">$C25+Market!$C$19*Market!K8</f>
        <v>0.099</v>
      </c>
      <c r="L25" s="39" t="n">
        <f aca="false">AVERAGE(D25:G25)</f>
        <v>0.09975</v>
      </c>
      <c r="M25" s="39" t="n">
        <f aca="false">AVERAGE(H25:K25)</f>
        <v>0.097875</v>
      </c>
      <c r="N25" s="36" t="s">
        <v>287</v>
      </c>
    </row>
    <row r="26" customFormat="false" ht="15" hidden="false" customHeight="false" outlineLevel="0" collapsed="false">
      <c r="B26" s="15" t="s">
        <v>288</v>
      </c>
      <c r="C26" s="37" t="n">
        <v>0.077</v>
      </c>
      <c r="D26" s="39" t="n">
        <f aca="false">$C26+Market!$C$19*Market!D8</f>
        <v>0.077</v>
      </c>
      <c r="E26" s="39" t="n">
        <f aca="false">$C26+Market!$C$19*Market!E8</f>
        <v>0.0755</v>
      </c>
      <c r="F26" s="39" t="n">
        <f aca="false">$C26+Market!$C$19*Market!F8</f>
        <v>0.074</v>
      </c>
      <c r="G26" s="39" t="n">
        <f aca="false">$C26+Market!$C$19*Market!G8</f>
        <v>0.0725</v>
      </c>
      <c r="H26" s="39" t="n">
        <f aca="false">$C26+Market!$C$19*Market!H8</f>
        <v>0.0725</v>
      </c>
      <c r="I26" s="39" t="n">
        <f aca="false">$C26+Market!$C$19*Market!I8</f>
        <v>0.0725</v>
      </c>
      <c r="J26" s="39" t="n">
        <f aca="false">$C26+Market!$C$19*Market!J8</f>
        <v>0.0725</v>
      </c>
      <c r="K26" s="39" t="n">
        <f aca="false">$C26+Market!$C$19*Market!K8</f>
        <v>0.074</v>
      </c>
      <c r="L26" s="39" t="n">
        <f aca="false">AVERAGE(D26:G26)</f>
        <v>0.07475</v>
      </c>
      <c r="M26" s="39" t="n">
        <f aca="false">AVERAGE(H26:K26)</f>
        <v>0.072875</v>
      </c>
      <c r="N26" s="36" t="s">
        <v>289</v>
      </c>
    </row>
    <row r="27" customFormat="false" ht="15" hidden="false" customHeight="false" outlineLevel="0" collapsed="false">
      <c r="B27" s="15" t="s">
        <v>290</v>
      </c>
      <c r="C27" s="39" t="n">
        <f aca="false">SUMPRODUCT(C22:C26,C6:C10)/C11</f>
        <v>0.09457</v>
      </c>
      <c r="D27" s="39" t="n">
        <f aca="false">D28*4/D20</f>
        <v>0.0944636596200373</v>
      </c>
      <c r="E27" s="39" t="n">
        <f aca="false">E28*4/E20</f>
        <v>0.0932651414450238</v>
      </c>
      <c r="F27" s="39" t="n">
        <f aca="false">F28*4/F20</f>
        <v>0.0923687607424541</v>
      </c>
      <c r="G27" s="39" t="n">
        <f aca="false">G28*4/G20</f>
        <v>0.0907252327805576</v>
      </c>
      <c r="H27" s="39" t="n">
        <f aca="false">H28*4/H20</f>
        <v>0.0904884642042365</v>
      </c>
      <c r="I27" s="39" t="n">
        <f aca="false">I28*4/I20</f>
        <v>0.0895852913616681</v>
      </c>
      <c r="J27" s="39" t="n">
        <f aca="false">J28*4/J20</f>
        <v>0.0891500612069062</v>
      </c>
      <c r="K27" s="39" t="n">
        <f aca="false">K28*4/K20</f>
        <v>0.0904480651661815</v>
      </c>
      <c r="L27" s="39" t="n">
        <f aca="false">L28/L20</f>
        <v>0.0926891587730921</v>
      </c>
      <c r="M27" s="39" t="n">
        <f aca="false">M28/M20</f>
        <v>0.0899176603019577</v>
      </c>
      <c r="N27" s="19"/>
    </row>
    <row r="28" customFormat="false" ht="15" hidden="false" customHeight="false" outlineLevel="0" collapsed="false">
      <c r="B28" s="54" t="s">
        <v>291</v>
      </c>
      <c r="C28" s="55"/>
      <c r="D28" s="55" t="n">
        <f aca="false">(D15*D22+D16*D23+D17*D24+D18*D25+D19*D26)/4</f>
        <v>37009.2599328925</v>
      </c>
      <c r="E28" s="55" t="n">
        <f aca="false">(E15*E22+E16*E23+E17*E24+E18*E25+E19*E26)/4</f>
        <v>37071.4188442003</v>
      </c>
      <c r="F28" s="55" t="n">
        <f aca="false">(F15*F22+F16*F23+F17*F24+F18*F25+F19*F26)/4</f>
        <v>37085.6301406076</v>
      </c>
      <c r="G28" s="55" t="n">
        <f aca="false">(G15*G22+G16*G23+G17*G24+G18*G25+G19*G26)/4</f>
        <v>36749.9552302177</v>
      </c>
      <c r="H28" s="55" t="n">
        <f aca="false">(H15*H22+H16*H23+H17*H24+H18*H25+H19*H26)/4</f>
        <v>37075.782404599</v>
      </c>
      <c r="I28" s="55" t="n">
        <f aca="false">(I15*I22+I16*I23+I17*I24+I18*I25+I19*I26)/4</f>
        <v>37251.8591376549</v>
      </c>
      <c r="J28" s="55" t="n">
        <f aca="false">(J15*J22+J16*J23+J17*J24+J18*J25+J19*J26)/4</f>
        <v>37744.9091037742</v>
      </c>
      <c r="K28" s="55" t="n">
        <f aca="false">(K15*K22+K16*K23+K17*K24+K18*K25+K19*K26)/4</f>
        <v>39105.688434705</v>
      </c>
      <c r="L28" s="55" t="n">
        <f aca="false">SUM(D28:G28)</f>
        <v>147916.264147918</v>
      </c>
      <c r="M28" s="55" t="n">
        <f aca="false">SUM(H28:K28)</f>
        <v>151178.239080733</v>
      </c>
      <c r="N2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292</v>
      </c>
    </row>
    <row r="2" customFormat="false" ht="15" hidden="false" customHeight="false" outlineLevel="0" collapsed="false">
      <c r="A2" s="10" t="s">
        <v>293</v>
      </c>
    </row>
    <row r="4" customFormat="false" ht="27.75" hidden="false" customHeight="true" outlineLevel="0" collapsed="false">
      <c r="B4" s="31" t="s">
        <v>128</v>
      </c>
      <c r="C4" s="32" t="s">
        <v>261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36</v>
      </c>
      <c r="M4" s="32" t="s">
        <v>37</v>
      </c>
      <c r="N4" s="32" t="s">
        <v>138</v>
      </c>
    </row>
    <row r="5" customFormat="false" ht="15" hidden="false" customHeight="false" outlineLevel="0" collapsed="false">
      <c r="B5" s="13" t="s">
        <v>294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295</v>
      </c>
      <c r="C6" s="33" t="n">
        <v>0.01</v>
      </c>
      <c r="D6" s="47" t="n">
        <f aca="false">Loan_Book!C6*$C6/4*Market!D10*(1-Decisions!D19)</f>
        <v>1984.0105824</v>
      </c>
      <c r="E6" s="47" t="n">
        <f aca="false">Loan_Book!D6*$C6/4*Market!E10*(1-Decisions!E19)</f>
        <v>2738.82964608</v>
      </c>
      <c r="F6" s="47" t="n">
        <f aca="false">Loan_Book!E6*$C6/4*Market!F10*(1-Decisions!F19)</f>
        <v>3423.20231175437</v>
      </c>
      <c r="G6" s="47" t="n">
        <f aca="false">Loan_Book!F6*$C6/4*Market!G10*(1-Decisions!G19)</f>
        <v>4009.09655357387</v>
      </c>
      <c r="H6" s="47" t="n">
        <f aca="false">Loan_Book!G6*$C6/4*Market!H10*(1-Decisions!H19)</f>
        <v>3662.30970168973</v>
      </c>
      <c r="I6" s="47" t="n">
        <f aca="false">Loan_Book!H6*$C6/4*Market!I10*(1-Decisions!I19)</f>
        <v>3145.03518560165</v>
      </c>
      <c r="J6" s="47" t="n">
        <f aca="false">Loan_Book!I6*$C6/4*Market!J10*(1-Decisions!J19)</f>
        <v>2535.1972678977</v>
      </c>
      <c r="K6" s="47" t="n">
        <f aca="false">Loan_Book!J6*$C6/4*Market!K10*(1-Decisions!K19)</f>
        <v>2183.29200321336</v>
      </c>
      <c r="L6" s="47" t="n">
        <f aca="false">SUM(D6:G6)</f>
        <v>12155.1390938082</v>
      </c>
      <c r="M6" s="47" t="n">
        <f aca="false">SUM(H6:K6)</f>
        <v>11525.8341584024</v>
      </c>
      <c r="N6" s="36" t="s">
        <v>296</v>
      </c>
    </row>
    <row r="7" customFormat="false" ht="15" hidden="false" customHeight="false" outlineLevel="0" collapsed="false">
      <c r="B7" s="15" t="s">
        <v>297</v>
      </c>
      <c r="C7" s="33" t="n">
        <v>0.04</v>
      </c>
      <c r="D7" s="47" t="n">
        <f aca="false">Loan_Book!C7*$C7/4*Market!D10*(1-Decisions!D19)</f>
        <v>2480.013228</v>
      </c>
      <c r="E7" s="47" t="n">
        <f aca="false">Loan_Book!D7*$C7/4*Market!E10*(1-Decisions!E19)</f>
        <v>3322.8447912</v>
      </c>
      <c r="F7" s="47" t="n">
        <f aca="false">Loan_Book!E7*$C7/4*Market!F10*(1-Decisions!F19)</f>
        <v>3977.722118799</v>
      </c>
      <c r="G7" s="47" t="n">
        <f aca="false">Loan_Book!F7*$C7/4*Market!G10*(1-Decisions!G19)</f>
        <v>4451.98898680965</v>
      </c>
      <c r="H7" s="47" t="n">
        <f aca="false">Loan_Book!G7*$C7/4*Market!H10*(1-Decisions!H19)</f>
        <v>3926.65428636611</v>
      </c>
      <c r="I7" s="47" t="n">
        <f aca="false">Loan_Book!H7*$C7/4*Market!I10*(1-Decisions!I19)</f>
        <v>3279.29528166481</v>
      </c>
      <c r="J7" s="47" t="n">
        <f aca="false">Loan_Book!I7*$C7/4*Market!J10*(1-Decisions!J19)</f>
        <v>2591.59182900163</v>
      </c>
      <c r="K7" s="47" t="n">
        <f aca="false">Loan_Book!J7*$C7/4*Market!K10*(1-Decisions!K19)</f>
        <v>2203.49671798147</v>
      </c>
      <c r="L7" s="47" t="n">
        <f aca="false">SUM(D7:G7)</f>
        <v>14232.5691248086</v>
      </c>
      <c r="M7" s="47" t="n">
        <f aca="false">SUM(H7:K7)</f>
        <v>12001.038115014</v>
      </c>
      <c r="N7" s="36" t="s">
        <v>298</v>
      </c>
    </row>
    <row r="8" customFormat="false" ht="15" hidden="false" customHeight="false" outlineLevel="0" collapsed="false">
      <c r="B8" s="15" t="s">
        <v>299</v>
      </c>
      <c r="C8" s="33" t="n">
        <v>0.02</v>
      </c>
      <c r="D8" s="47" t="n">
        <f aca="false">Loan_Book!C8*$C8/4*Market!D10*(1-Decisions!D19)</f>
        <v>2004.6773593</v>
      </c>
      <c r="E8" s="47" t="n">
        <f aca="false">Loan_Book!D8*$C8/4*Market!E10*(1-Decisions!E19)</f>
        <v>2767.35912156</v>
      </c>
      <c r="F8" s="47" t="n">
        <f aca="false">Loan_Book!E8*$C8/4*Market!F10*(1-Decisions!F19)</f>
        <v>3431.67905290782</v>
      </c>
      <c r="G8" s="47" t="n">
        <f aca="false">Loan_Book!F8*$C8/4*Market!G10*(1-Decisions!G19)</f>
        <v>3979.42782481426</v>
      </c>
      <c r="H8" s="47" t="n">
        <f aca="false">Loan_Book!G8*$C8/4*Market!H10*(1-Decisions!H19)</f>
        <v>3599.3924675445</v>
      </c>
      <c r="I8" s="47" t="n">
        <f aca="false">Loan_Book!H8*$C8/4*Market!I10*(1-Decisions!I19)</f>
        <v>3066.71374960253</v>
      </c>
      <c r="J8" s="47" t="n">
        <f aca="false">Loan_Book!I8*$C8/4*Market!J10*(1-Decisions!J19)</f>
        <v>2459.94479206883</v>
      </c>
      <c r="K8" s="47" t="n">
        <f aca="false">Loan_Book!J8*$C8/4*Market!K10*(1-Decisions!K19)</f>
        <v>2112.27259478977</v>
      </c>
      <c r="L8" s="47" t="n">
        <f aca="false">SUM(D8:G8)</f>
        <v>12183.1433585821</v>
      </c>
      <c r="M8" s="47" t="n">
        <f aca="false">SUM(H8:K8)</f>
        <v>11238.3236040056</v>
      </c>
      <c r="N8" s="36" t="s">
        <v>300</v>
      </c>
    </row>
    <row r="9" customFormat="false" ht="15" hidden="false" customHeight="false" outlineLevel="0" collapsed="false">
      <c r="B9" s="15" t="s">
        <v>301</v>
      </c>
      <c r="C9" s="33" t="n">
        <v>0.025</v>
      </c>
      <c r="D9" s="47" t="n">
        <f aca="false">Loan_Book!C9*$C9/4*Market!D10*(1-Decisions!D19)</f>
        <v>749.170662625</v>
      </c>
      <c r="E9" s="47" t="n">
        <f aca="false">Loan_Book!D9*$C9/4*Market!E10*(1-Decisions!E19)</f>
        <v>1024.054334325</v>
      </c>
      <c r="F9" s="47" t="n">
        <f aca="false">Loan_Book!E9*$C9/4*Market!F10*(1-Decisions!F19)</f>
        <v>1257.31115492125</v>
      </c>
      <c r="G9" s="47" t="n">
        <f aca="false">Loan_Book!F9*$C9/4*Market!G10*(1-Decisions!G19)</f>
        <v>1443.48992209228</v>
      </c>
      <c r="H9" s="47" t="n">
        <f aca="false">Loan_Book!G9*$C9/4*Market!H10*(1-Decisions!H19)</f>
        <v>1299.14092988305</v>
      </c>
      <c r="I9" s="47" t="n">
        <f aca="false">Loan_Book!H9*$C9/4*Market!I10*(1-Decisions!I19)</f>
        <v>1101.39979279079</v>
      </c>
      <c r="J9" s="47" t="n">
        <f aca="false">Loan_Book!I9*$C9/4*Market!J10*(1-Decisions!J19)</f>
        <v>879.128667251862</v>
      </c>
      <c r="K9" s="47" t="n">
        <f aca="false">Loan_Book!J9*$C9/4*Market!K10*(1-Decisions!K19)</f>
        <v>751.178097563205</v>
      </c>
      <c r="L9" s="47" t="n">
        <f aca="false">SUM(D9:G9)</f>
        <v>4474.02607396353</v>
      </c>
      <c r="M9" s="47" t="n">
        <f aca="false">SUM(H9:K9)</f>
        <v>4030.84748748891</v>
      </c>
      <c r="N9" s="36" t="s">
        <v>302</v>
      </c>
    </row>
    <row r="10" customFormat="false" ht="15" hidden="false" customHeight="false" outlineLevel="0" collapsed="false">
      <c r="B10" s="15" t="s">
        <v>303</v>
      </c>
      <c r="C10" s="33" t="n">
        <v>0.004</v>
      </c>
      <c r="D10" s="47" t="n">
        <f aca="false">Loan_Book!C10*$C10/4*Market!D10*(1-Decisions!D19)</f>
        <v>504.26935636</v>
      </c>
      <c r="E10" s="47" t="n">
        <f aca="false">Loan_Book!D10*$C10/4*Market!E10*(1-Decisions!E19)</f>
        <v>699.53155074</v>
      </c>
      <c r="F10" s="47" t="n">
        <f aca="false">Loan_Book!E10*$C10/4*Market!F10*(1-Decisions!F19)</f>
        <v>880.341025174325</v>
      </c>
      <c r="G10" s="47" t="n">
        <f aca="false">Loan_Book!F10*$C10/4*Market!G10*(1-Decisions!G19)</f>
        <v>1036.09366808978</v>
      </c>
      <c r="H10" s="47" t="n">
        <f aca="false">Loan_Book!G10*$C10/4*Market!H10*(1-Decisions!H19)</f>
        <v>951.13398730642</v>
      </c>
      <c r="I10" s="47" t="n">
        <f aca="false">Loan_Book!H10*$C10/4*Market!I10*(1-Decisions!I19)</f>
        <v>818.397955300102</v>
      </c>
      <c r="J10" s="47" t="n">
        <f aca="false">Loan_Book!I10*$C10/4*Market!J10*(1-Decisions!J19)</f>
        <v>659.706533595733</v>
      </c>
      <c r="K10" s="47" t="n">
        <f aca="false">Loan_Book!J10*$C10/4*Market!K10*(1-Decisions!K19)</f>
        <v>566.468010180869</v>
      </c>
      <c r="L10" s="47" t="n">
        <f aca="false">SUM(D10:G10)</f>
        <v>3120.23560036411</v>
      </c>
      <c r="M10" s="47" t="n">
        <f aca="false">SUM(H10:K10)</f>
        <v>2995.70648638312</v>
      </c>
      <c r="N10" s="36" t="s">
        <v>304</v>
      </c>
    </row>
    <row r="11" customFormat="false" ht="15" hidden="false" customHeight="false" outlineLevel="0" collapsed="false">
      <c r="B11" s="54" t="s">
        <v>305</v>
      </c>
      <c r="C11" s="55"/>
      <c r="D11" s="55" t="n">
        <f aca="false">SUM(D6:D10)</f>
        <v>7722.141188685</v>
      </c>
      <c r="E11" s="55" t="n">
        <f aca="false">SUM(E6:E10)</f>
        <v>10552.619443905</v>
      </c>
      <c r="F11" s="55" t="n">
        <f aca="false">SUM(F6:F10)</f>
        <v>12970.2556635568</v>
      </c>
      <c r="G11" s="55" t="n">
        <f aca="false">SUM(G6:G10)</f>
        <v>14920.0969553798</v>
      </c>
      <c r="H11" s="55" t="n">
        <f aca="false">SUM(H6:H10)</f>
        <v>13438.6313727898</v>
      </c>
      <c r="I11" s="55" t="n">
        <f aca="false">SUM(I6:I10)</f>
        <v>11410.8419649599</v>
      </c>
      <c r="J11" s="55" t="n">
        <f aca="false">SUM(J6:J10)</f>
        <v>9125.56908981575</v>
      </c>
      <c r="K11" s="55" t="n">
        <f aca="false">SUM(K6:K10)</f>
        <v>7816.70742372866</v>
      </c>
      <c r="L11" s="55" t="n">
        <f aca="false">SUM(D11:G11)</f>
        <v>46165.1132515266</v>
      </c>
      <c r="M11" s="55" t="n">
        <f aca="false">SUM(H11:K11)</f>
        <v>41791.7498512941</v>
      </c>
      <c r="N11" s="19"/>
    </row>
    <row r="12" customFormat="false" ht="15" hidden="false" customHeight="false" outlineLevel="0" collapsed="false">
      <c r="B12" s="15" t="s">
        <v>306</v>
      </c>
      <c r="C12" s="39"/>
      <c r="D12" s="39" t="n">
        <f aca="false">D11*4/Loan_Book!C11</f>
        <v>0.01987818</v>
      </c>
      <c r="E12" s="39" t="n">
        <f aca="false">E11*4/Loan_Book!D11</f>
        <v>0.0267092149767954</v>
      </c>
      <c r="F12" s="39" t="n">
        <f aca="false">F11*4/Loan_Book!E11</f>
        <v>0.0324357316879324</v>
      </c>
      <c r="G12" s="39" t="n">
        <f aca="false">G11*4/Loan_Book!F11</f>
        <v>0.0370119920806378</v>
      </c>
      <c r="H12" s="39" t="n">
        <f aca="false">H11*4/Loan_Book!G11</f>
        <v>0.0330169445798132</v>
      </c>
      <c r="I12" s="39" t="n">
        <f aca="false">I11*4/Loan_Book!H11</f>
        <v>0.0276669060545248</v>
      </c>
      <c r="J12" s="39" t="n">
        <f aca="false">J11*4/Loan_Book!I11</f>
        <v>0.021768245152803</v>
      </c>
      <c r="K12" s="39" t="n">
        <f aca="false">K11*4/Loan_Book!J11</f>
        <v>0.0182822262741826</v>
      </c>
      <c r="L12" s="39" t="n">
        <f aca="false">L11/Loan_Book!C11</f>
        <v>0.02970932570745</v>
      </c>
      <c r="M12" s="39" t="n">
        <f aca="false">M11/Loan_Book!G11</f>
        <v>0.0256692041484122</v>
      </c>
      <c r="N12" s="19"/>
    </row>
    <row r="13" customFormat="false" ht="15" hidden="false" customHeight="false" outlineLevel="0" collapsed="false">
      <c r="B13" s="13" t="s">
        <v>307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customFormat="false" ht="15" hidden="false" customHeight="false" outlineLevel="0" collapsed="false">
      <c r="B14" s="15" t="s">
        <v>308</v>
      </c>
      <c r="C14" s="47"/>
      <c r="D14" s="47" t="n">
        <f aca="false">C18</f>
        <v>21987.8369254529</v>
      </c>
      <c r="E14" s="47" t="n">
        <f aca="false">D18</f>
        <v>24938.8373796839</v>
      </c>
      <c r="F14" s="47" t="n">
        <f aca="false">E18</f>
        <v>30380.2421026227</v>
      </c>
      <c r="G14" s="47" t="n">
        <f aca="false">F18</f>
        <v>37538.7574519477</v>
      </c>
      <c r="H14" s="47" t="n">
        <f aca="false">G18</f>
        <v>45556.2276870634</v>
      </c>
      <c r="I14" s="47" t="n">
        <f aca="false">H18</f>
        <v>50327.7867423894</v>
      </c>
      <c r="J14" s="47" t="n">
        <f aca="false">I18</f>
        <v>51483.83888072</v>
      </c>
      <c r="K14" s="47" t="n">
        <f aca="false">J18</f>
        <v>49437.9297718083</v>
      </c>
      <c r="L14" s="47" t="n">
        <f aca="false">D14</f>
        <v>21987.8369254529</v>
      </c>
      <c r="M14" s="47" t="n">
        <f aca="false">H14</f>
        <v>45556.2276870634</v>
      </c>
      <c r="N14" s="19"/>
    </row>
    <row r="15" customFormat="false" ht="15" hidden="false" customHeight="false" outlineLevel="0" collapsed="false">
      <c r="B15" s="15" t="s">
        <v>309</v>
      </c>
      <c r="C15" s="47"/>
      <c r="D15" s="47" t="n">
        <f aca="false">D11</f>
        <v>7722.141188685</v>
      </c>
      <c r="E15" s="47" t="n">
        <f aca="false">E11</f>
        <v>10552.619443905</v>
      </c>
      <c r="F15" s="47" t="n">
        <f aca="false">F11</f>
        <v>12970.2556635568</v>
      </c>
      <c r="G15" s="47" t="n">
        <f aca="false">G11</f>
        <v>14920.0969553798</v>
      </c>
      <c r="H15" s="47" t="n">
        <f aca="false">H11</f>
        <v>13438.6313727898</v>
      </c>
      <c r="I15" s="47" t="n">
        <f aca="false">I11</f>
        <v>11410.8419649599</v>
      </c>
      <c r="J15" s="47" t="n">
        <f aca="false">J11</f>
        <v>9125.56908981575</v>
      </c>
      <c r="K15" s="47" t="n">
        <f aca="false">K11</f>
        <v>7816.70742372866</v>
      </c>
      <c r="L15" s="47" t="n">
        <f aca="false">SUM(D15:G15)</f>
        <v>46165.1132515266</v>
      </c>
      <c r="M15" s="47" t="n">
        <f aca="false">SUM(H15:K15)</f>
        <v>41791.7498512941</v>
      </c>
      <c r="N15" s="19"/>
    </row>
    <row r="16" customFormat="false" ht="22.35" hidden="false" customHeight="false" outlineLevel="0" collapsed="false">
      <c r="B16" s="15" t="s">
        <v>310</v>
      </c>
      <c r="C16" s="33" t="n">
        <v>0.14</v>
      </c>
      <c r="D16" s="47" t="n">
        <f aca="false">-D14*$C16*Market!D11*(1+Decisions!D20/100*Market!$C$26)</f>
        <v>-3012.11378041779</v>
      </c>
      <c r="E16" s="47" t="n">
        <f aca="false">-E14*$C16*Market!E11*(1+Decisions!E20/100*Market!$C$26)</f>
        <v>-3116.1077305915</v>
      </c>
      <c r="F16" s="47" t="n">
        <f aca="false">-F14*$C16*Market!F11*(1+Decisions!F20/100*Market!$C$26)</f>
        <v>-3381.3209460219</v>
      </c>
      <c r="G16" s="47" t="n">
        <f aca="false">-G14*$C16*Market!G11*(1+Decisions!G20/100*Market!$C$26)</f>
        <v>-3899.52612410833</v>
      </c>
      <c r="H16" s="47" t="n">
        <f aca="false">-H14*$C16*Market!H11*(1+Decisions!H20/100*Market!$C$26)</f>
        <v>-5022.57410249874</v>
      </c>
      <c r="I16" s="47" t="n">
        <f aca="false">-I14*$C16*Market!I11*(1+Decisions!I20/100*Market!$C$26)</f>
        <v>-6228.56688723811</v>
      </c>
      <c r="J16" s="47" t="n">
        <f aca="false">-J14*$C16*Market!J11*(1+Decisions!J20/100*Market!$C$26)</f>
        <v>-7052.77108826984</v>
      </c>
      <c r="K16" s="47" t="n">
        <f aca="false">-K14*$C16*Market!K11*(1+Decisions!K20/100*Market!$C$26)</f>
        <v>-7059.73637141423</v>
      </c>
      <c r="L16" s="47" t="n">
        <f aca="false">SUM(D16:G16)</f>
        <v>-13409.0685811395</v>
      </c>
      <c r="M16" s="47" t="n">
        <f aca="false">SUM(H16:K16)</f>
        <v>-25363.6484494209</v>
      </c>
      <c r="N16" s="36" t="s">
        <v>311</v>
      </c>
    </row>
    <row r="17" customFormat="false" ht="15" hidden="false" customHeight="false" outlineLevel="0" collapsed="false">
      <c r="B17" s="15" t="s">
        <v>312</v>
      </c>
      <c r="C17" s="33" t="n">
        <v>0.08</v>
      </c>
      <c r="D17" s="47" t="n">
        <f aca="false">-D14*$C17</f>
        <v>-1759.02695403623</v>
      </c>
      <c r="E17" s="47" t="n">
        <f aca="false">-E14*$C17</f>
        <v>-1995.10699037471</v>
      </c>
      <c r="F17" s="47" t="n">
        <f aca="false">-F14*$C17</f>
        <v>-2430.41936820981</v>
      </c>
      <c r="G17" s="47" t="n">
        <f aca="false">-G14*$C17</f>
        <v>-3003.10059615582</v>
      </c>
      <c r="H17" s="47" t="n">
        <f aca="false">-H14*$C17</f>
        <v>-3644.49821496507</v>
      </c>
      <c r="I17" s="47" t="n">
        <f aca="false">-I14*$C17</f>
        <v>-4026.22293939115</v>
      </c>
      <c r="J17" s="47" t="n">
        <f aca="false">-J14*$C17</f>
        <v>-4118.7071104576</v>
      </c>
      <c r="K17" s="47" t="n">
        <f aca="false">-K14*$C17</f>
        <v>-3955.03438174467</v>
      </c>
      <c r="L17" s="47" t="n">
        <f aca="false">SUM(D17:G17)</f>
        <v>-9187.65390877657</v>
      </c>
      <c r="M17" s="47" t="n">
        <f aca="false">SUM(H17:K17)</f>
        <v>-15744.4626465585</v>
      </c>
      <c r="N17" s="36" t="s">
        <v>313</v>
      </c>
    </row>
    <row r="18" customFormat="false" ht="22.35" hidden="false" customHeight="false" outlineLevel="0" collapsed="false">
      <c r="B18" s="54" t="s">
        <v>314</v>
      </c>
      <c r="C18" s="55" t="n">
        <f aca="false">Loan_Book!C11*Baseline!D19/(1-Baseline!D19*C20)</f>
        <v>21987.8369254529</v>
      </c>
      <c r="D18" s="55" t="n">
        <f aca="false">SUM(D14:D17)</f>
        <v>24938.8373796839</v>
      </c>
      <c r="E18" s="55" t="n">
        <f aca="false">SUM(E14:E17)</f>
        <v>30380.2421026227</v>
      </c>
      <c r="F18" s="55" t="n">
        <f aca="false">SUM(F14:F17)</f>
        <v>37538.7574519477</v>
      </c>
      <c r="G18" s="55" t="n">
        <f aca="false">SUM(G14:G17)</f>
        <v>45556.2276870634</v>
      </c>
      <c r="H18" s="55" t="n">
        <f aca="false">SUM(H14:H17)</f>
        <v>50327.7867423894</v>
      </c>
      <c r="I18" s="55" t="n">
        <f aca="false">SUM(I14:I17)</f>
        <v>51483.83888072</v>
      </c>
      <c r="J18" s="55" t="n">
        <f aca="false">SUM(J14:J17)</f>
        <v>49437.9297718083</v>
      </c>
      <c r="K18" s="55" t="n">
        <f aca="false">SUM(K14:K17)</f>
        <v>46239.8664423781</v>
      </c>
      <c r="L18" s="55" t="n">
        <f aca="false">G18</f>
        <v>45556.2276870634</v>
      </c>
      <c r="M18" s="55" t="n">
        <f aca="false">K18</f>
        <v>46239.8664423781</v>
      </c>
      <c r="N18" s="36" t="s">
        <v>315</v>
      </c>
    </row>
    <row r="19" customFormat="false" ht="15" hidden="false" customHeight="false" outlineLevel="0" collapsed="false">
      <c r="B19" s="13" t="s">
        <v>316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customFormat="false" ht="15" hidden="false" customHeight="false" outlineLevel="0" collapsed="false">
      <c r="B20" s="15" t="s">
        <v>317</v>
      </c>
      <c r="C20" s="35" t="n">
        <f aca="false">Decisions!C21</f>
        <v>0.758</v>
      </c>
      <c r="D20" s="35" t="n">
        <f aca="false">Decisions!D21</f>
        <v>0.75</v>
      </c>
      <c r="E20" s="35" t="n">
        <f aca="false">Decisions!E21</f>
        <v>0.76</v>
      </c>
      <c r="F20" s="35" t="n">
        <f aca="false">Decisions!F21</f>
        <v>0.77</v>
      </c>
      <c r="G20" s="35" t="n">
        <f aca="false">Decisions!G21</f>
        <v>0.78</v>
      </c>
      <c r="H20" s="35" t="n">
        <f aca="false">Decisions!H21</f>
        <v>0.78</v>
      </c>
      <c r="I20" s="35" t="n">
        <f aca="false">Decisions!I21</f>
        <v>0.78</v>
      </c>
      <c r="J20" s="35" t="n">
        <f aca="false">Decisions!J21</f>
        <v>0.78</v>
      </c>
      <c r="K20" s="35" t="n">
        <f aca="false">Decisions!K21</f>
        <v>0.78</v>
      </c>
      <c r="L20" s="35" t="n">
        <f aca="false">G20</f>
        <v>0.78</v>
      </c>
      <c r="M20" s="35" t="n">
        <f aca="false">K20</f>
        <v>0.78</v>
      </c>
      <c r="N20" s="19"/>
    </row>
    <row r="21" customFormat="false" ht="15" hidden="false" customHeight="false" outlineLevel="0" collapsed="false">
      <c r="B21" s="15" t="s">
        <v>318</v>
      </c>
      <c r="C21" s="47" t="n">
        <f aca="false">C18*C20</f>
        <v>16666.7803894933</v>
      </c>
      <c r="D21" s="47" t="n">
        <f aca="false">D18*D20</f>
        <v>18704.1280347629</v>
      </c>
      <c r="E21" s="47" t="n">
        <f aca="false">E18*E20</f>
        <v>23088.9839979932</v>
      </c>
      <c r="F21" s="47" t="n">
        <f aca="false">F18*F20</f>
        <v>28904.8432379997</v>
      </c>
      <c r="G21" s="47" t="n">
        <f aca="false">G18*G20</f>
        <v>35533.8575959095</v>
      </c>
      <c r="H21" s="47" t="n">
        <f aca="false">H18*H20</f>
        <v>39255.6736590637</v>
      </c>
      <c r="I21" s="47" t="n">
        <f aca="false">I18*I20</f>
        <v>40157.3943269616</v>
      </c>
      <c r="J21" s="47" t="n">
        <f aca="false">J18*J20</f>
        <v>38561.5852220105</v>
      </c>
      <c r="K21" s="47" t="n">
        <f aca="false">K18*K20</f>
        <v>36067.0958250549</v>
      </c>
      <c r="L21" s="47" t="n">
        <f aca="false">G21</f>
        <v>35533.8575959095</v>
      </c>
      <c r="M21" s="47" t="n">
        <f aca="false">K21</f>
        <v>36067.0958250549</v>
      </c>
      <c r="N21" s="19"/>
    </row>
    <row r="22" customFormat="false" ht="15" hidden="false" customHeight="false" outlineLevel="0" collapsed="false">
      <c r="B22" s="15" t="s">
        <v>319</v>
      </c>
      <c r="C22" s="47" t="n">
        <f aca="false">C18-C21</f>
        <v>5321.0565359596</v>
      </c>
      <c r="D22" s="47" t="n">
        <f aca="false">D18-D21</f>
        <v>6234.70934492097</v>
      </c>
      <c r="E22" s="47" t="n">
        <f aca="false">E18-E21</f>
        <v>7291.25810462944</v>
      </c>
      <c r="F22" s="47" t="n">
        <f aca="false">F18-F21</f>
        <v>8633.91421394797</v>
      </c>
      <c r="G22" s="47" t="n">
        <f aca="false">G18-G21</f>
        <v>10022.3700911539</v>
      </c>
      <c r="H22" s="47" t="n">
        <f aca="false">H18-H21</f>
        <v>11072.1130833257</v>
      </c>
      <c r="I22" s="47" t="n">
        <f aca="false">I18-I21</f>
        <v>11326.4445537584</v>
      </c>
      <c r="J22" s="47" t="n">
        <f aca="false">J18-J21</f>
        <v>10876.3445497978</v>
      </c>
      <c r="K22" s="47" t="n">
        <f aca="false">K18-K21</f>
        <v>10172.7706173232</v>
      </c>
      <c r="L22" s="47" t="n">
        <f aca="false">G22</f>
        <v>10022.3700911539</v>
      </c>
      <c r="M22" s="47" t="n">
        <f aca="false">K22</f>
        <v>10172.7706173232</v>
      </c>
      <c r="N22" s="19"/>
    </row>
    <row r="23" customFormat="false" ht="15" hidden="false" customHeight="false" outlineLevel="0" collapsed="false">
      <c r="B23" s="15" t="s">
        <v>320</v>
      </c>
      <c r="C23" s="47" t="n">
        <f aca="false">Loan_Book!C11+C21</f>
        <v>1570559.78038949</v>
      </c>
      <c r="D23" s="47" t="n">
        <f aca="false">Loan_Book!D11+D21</f>
        <v>1599075.46475476</v>
      </c>
      <c r="E23" s="47" t="n">
        <f aca="false">Loan_Book!E11+E21</f>
        <v>1622591.13654321</v>
      </c>
      <c r="F23" s="47" t="n">
        <f aca="false">Loan_Book!F11+F21</f>
        <v>1641365.68272738</v>
      </c>
      <c r="G23" s="47" t="n">
        <f aca="false">Loan_Book!G11+G21</f>
        <v>1663622.89415761</v>
      </c>
      <c r="H23" s="47" t="n">
        <f aca="false">Loan_Book!H11+H21</f>
        <v>1689001.68320156</v>
      </c>
      <c r="I23" s="47" t="n">
        <f aca="false">Loan_Book!I11+I21</f>
        <v>1717016.32820215</v>
      </c>
      <c r="J23" s="47" t="n">
        <f aca="false">Loan_Book!J11+J21</f>
        <v>1748792.56179998</v>
      </c>
      <c r="K23" s="47" t="n">
        <f aca="false">Loan_Book!K11+K21</f>
        <v>1784677.46541457</v>
      </c>
      <c r="L23" s="47" t="n">
        <f aca="false">G23</f>
        <v>1663622.89415761</v>
      </c>
      <c r="M23" s="47" t="n">
        <f aca="false">K23</f>
        <v>1784677.46541457</v>
      </c>
      <c r="N23" s="19"/>
    </row>
    <row r="24" customFormat="false" ht="15" hidden="false" customHeight="false" outlineLevel="0" collapsed="false">
      <c r="B24" s="54" t="s">
        <v>321</v>
      </c>
      <c r="C24" s="56" t="n">
        <f aca="false">C18/C23</f>
        <v>0.014</v>
      </c>
      <c r="D24" s="56" t="n">
        <f aca="false">D18/D23</f>
        <v>0.015595785145455</v>
      </c>
      <c r="E24" s="56" t="n">
        <f aca="false">E18/E23</f>
        <v>0.0187232885835584</v>
      </c>
      <c r="F24" s="56" t="n">
        <f aca="false">F18/F23</f>
        <v>0.0228704412715461</v>
      </c>
      <c r="G24" s="56" t="n">
        <f aca="false">G18/G23</f>
        <v>0.0273837465492029</v>
      </c>
      <c r="H24" s="56" t="n">
        <f aca="false">H18/H23</f>
        <v>0.0297973573637839</v>
      </c>
      <c r="I24" s="56" t="n">
        <f aca="false">I18/I23</f>
        <v>0.0299844783273713</v>
      </c>
      <c r="J24" s="56" t="n">
        <f aca="false">J18/J23</f>
        <v>0.0282697507135571</v>
      </c>
      <c r="K24" s="56" t="n">
        <f aca="false">K18/K23</f>
        <v>0.0259093686890011</v>
      </c>
      <c r="L24" s="56" t="n">
        <f aca="false">G24</f>
        <v>0.0273837465492029</v>
      </c>
      <c r="M24" s="56" t="n">
        <f aca="false">K24</f>
        <v>0.0259093686890011</v>
      </c>
      <c r="N24" s="19"/>
    </row>
    <row r="25" customFormat="false" ht="15" hidden="false" customHeight="false" outlineLevel="0" collapsed="false">
      <c r="B25" s="54" t="s">
        <v>322</v>
      </c>
      <c r="C25" s="56" t="n">
        <f aca="false">C22/Loan_Book!C11</f>
        <v>0.00342433908638472</v>
      </c>
      <c r="D25" s="56" t="n">
        <f aca="false">D22/Loan_Book!D11</f>
        <v>0.0039450913845735</v>
      </c>
      <c r="E25" s="56" t="n">
        <f aca="false">E22/Loan_Book!E11</f>
        <v>0.00455845469981217</v>
      </c>
      <c r="F25" s="56" t="n">
        <f aca="false">F22/Loan_Book!F11</f>
        <v>0.00535449544106888</v>
      </c>
      <c r="G25" s="56" t="n">
        <f aca="false">G22/Loan_Book!G11</f>
        <v>0.00615591031330804</v>
      </c>
      <c r="H25" s="56" t="n">
        <f aca="false">H22/Loan_Book!H11</f>
        <v>0.00671140467640601</v>
      </c>
      <c r="I25" s="56" t="n">
        <f aca="false">I22/Loan_Book!I11</f>
        <v>0.00675456016302052</v>
      </c>
      <c r="J25" s="56" t="n">
        <f aca="false">J22/Loan_Book!J11</f>
        <v>0.00635957639567522</v>
      </c>
      <c r="K25" s="56" t="n">
        <f aca="false">K22/Loan_Book!K11</f>
        <v>0.0058176314142019</v>
      </c>
      <c r="L25" s="56" t="n">
        <f aca="false">G25</f>
        <v>0.00615591031330804</v>
      </c>
      <c r="M25" s="56" t="n">
        <f aca="false">K25</f>
        <v>0.0058176314142019</v>
      </c>
      <c r="N25" s="19"/>
    </row>
    <row r="26" customFormat="false" ht="15" hidden="false" customHeight="false" outlineLevel="0" collapsed="false">
      <c r="B26" s="13" t="s">
        <v>323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15" hidden="false" customHeight="false" outlineLevel="0" collapsed="false">
      <c r="B27" s="15" t="s">
        <v>324</v>
      </c>
      <c r="C27" s="47"/>
      <c r="D27" s="47" t="n">
        <f aca="false">D21-C21-D17</f>
        <v>3796.37459930584</v>
      </c>
      <c r="E27" s="47" t="n">
        <f aca="false">E21-D21-E17</f>
        <v>6379.96295360503</v>
      </c>
      <c r="F27" s="47" t="n">
        <f aca="false">F21-E21-F17</f>
        <v>8246.27860821633</v>
      </c>
      <c r="G27" s="47" t="n">
        <f aca="false">G21-F21-G17</f>
        <v>9632.11495406553</v>
      </c>
      <c r="H27" s="47" t="n">
        <f aca="false">H21-G21-H17</f>
        <v>7366.31427811935</v>
      </c>
      <c r="I27" s="47" t="n">
        <f aca="false">I21-H21-I17</f>
        <v>4927.94360728904</v>
      </c>
      <c r="J27" s="47" t="n">
        <f aca="false">J21-I21-J17</f>
        <v>2522.89800550649</v>
      </c>
      <c r="K27" s="47" t="n">
        <f aca="false">K21-J21-K17</f>
        <v>1460.54498478908</v>
      </c>
      <c r="L27" s="47" t="n">
        <f aca="false">SUM(D27:G27)</f>
        <v>28054.7311151927</v>
      </c>
      <c r="M27" s="47" t="n">
        <f aca="false">SUM(H27:K27)</f>
        <v>16277.700875704</v>
      </c>
      <c r="N27" s="19"/>
    </row>
    <row r="28" customFormat="false" ht="15" hidden="false" customHeight="false" outlineLevel="0" collapsed="false">
      <c r="B28" s="15" t="s">
        <v>325</v>
      </c>
      <c r="C28" s="47"/>
      <c r="D28" s="47" t="n">
        <f aca="false">MAX(0,Loan_Book!D11-Loan_Book!C11)*0.004</f>
        <v>105.91334688</v>
      </c>
      <c r="E28" s="47" t="n">
        <f aca="false">MAX(0,Loan_Book!E11-Loan_Book!D11)*0.004</f>
        <v>76.5232633008799</v>
      </c>
      <c r="F28" s="47" t="n">
        <f aca="false">MAX(0,Loan_Book!F11-Loan_Book!E11)*0.004</f>
        <v>51.8347477766275</v>
      </c>
      <c r="G28" s="47" t="n">
        <f aca="false">MAX(0,Loan_Book!G11-Loan_Book!F11)*0.004</f>
        <v>62.5127882893076</v>
      </c>
      <c r="H28" s="47" t="n">
        <f aca="false">MAX(0,Loan_Book!H11-Loan_Book!G11)*0.004</f>
        <v>86.627891923178</v>
      </c>
      <c r="I28" s="47" t="n">
        <f aca="false">MAX(0,Loan_Book!I11-Loan_Book!H11)*0.004</f>
        <v>108.45169733076</v>
      </c>
      <c r="J28" s="47" t="n">
        <f aca="false">MAX(0,Loan_Book!J11-Loan_Book!I11)*0.004</f>
        <v>133.488170811124</v>
      </c>
      <c r="K28" s="47" t="n">
        <f aca="false">MAX(0,Loan_Book!K11-Loan_Book!J11)*0.004</f>
        <v>153.517572046192</v>
      </c>
      <c r="L28" s="47" t="n">
        <f aca="false">SUM(D28:G28)</f>
        <v>296.784146246815</v>
      </c>
      <c r="M28" s="47" t="n">
        <f aca="false">SUM(H28:K28)</f>
        <v>482.085332111254</v>
      </c>
      <c r="N28" s="19"/>
    </row>
    <row r="29" customFormat="false" ht="15" hidden="false" customHeight="false" outlineLevel="0" collapsed="false">
      <c r="B29" s="15" t="s">
        <v>326</v>
      </c>
      <c r="C29" s="47"/>
      <c r="D29" s="47" t="n">
        <f aca="false">Decisions!D22</f>
        <v>1000</v>
      </c>
      <c r="E29" s="47" t="n">
        <f aca="false">Decisions!E22</f>
        <v>500</v>
      </c>
      <c r="F29" s="47" t="n">
        <f aca="false">Decisions!F22</f>
        <v>-1500</v>
      </c>
      <c r="G29" s="47" t="n">
        <f aca="false">Decisions!G22</f>
        <v>-3000</v>
      </c>
      <c r="H29" s="47" t="n">
        <f aca="false">Decisions!H22</f>
        <v>-2000</v>
      </c>
      <c r="I29" s="47" t="n">
        <f aca="false">Decisions!I22</f>
        <v>0</v>
      </c>
      <c r="J29" s="47" t="n">
        <f aca="false">Decisions!J22</f>
        <v>500</v>
      </c>
      <c r="K29" s="47" t="n">
        <f aca="false">Decisions!K22</f>
        <v>1000</v>
      </c>
      <c r="L29" s="47" t="n">
        <f aca="false">SUM(D29:G29)</f>
        <v>-3000</v>
      </c>
      <c r="M29" s="47" t="n">
        <f aca="false">SUM(H29:K29)</f>
        <v>-500</v>
      </c>
      <c r="N29" s="19"/>
    </row>
    <row r="30" customFormat="false" ht="15" hidden="false" customHeight="false" outlineLevel="0" collapsed="false">
      <c r="B30" s="54" t="s">
        <v>327</v>
      </c>
      <c r="C30" s="55"/>
      <c r="D30" s="55" t="n">
        <f aca="false">SUM(D27:D29)</f>
        <v>4902.28794618584</v>
      </c>
      <c r="E30" s="55" t="n">
        <f aca="false">SUM(E27:E29)</f>
        <v>6956.48621690591</v>
      </c>
      <c r="F30" s="55" t="n">
        <f aca="false">SUM(F27:F29)</f>
        <v>6798.11335599296</v>
      </c>
      <c r="G30" s="55" t="n">
        <f aca="false">SUM(G27:G29)</f>
        <v>6694.62774235484</v>
      </c>
      <c r="H30" s="55" t="n">
        <f aca="false">SUM(H27:H29)</f>
        <v>5452.94217004253</v>
      </c>
      <c r="I30" s="55" t="n">
        <f aca="false">SUM(I27:I29)</f>
        <v>5036.3953046198</v>
      </c>
      <c r="J30" s="55" t="n">
        <f aca="false">SUM(J27:J29)</f>
        <v>3156.38617631761</v>
      </c>
      <c r="K30" s="55" t="n">
        <f aca="false">SUM(K27:K29)</f>
        <v>2614.06255683527</v>
      </c>
      <c r="L30" s="55" t="n">
        <f aca="false">SUM(D30:G30)</f>
        <v>25351.5152614395</v>
      </c>
      <c r="M30" s="55" t="n">
        <f aca="false">SUM(H30:K30)</f>
        <v>16259.7862078152</v>
      </c>
      <c r="N30" s="19"/>
    </row>
    <row r="31" customFormat="false" ht="15" hidden="false" customHeight="false" outlineLevel="0" collapsed="false">
      <c r="B31" s="15" t="s">
        <v>328</v>
      </c>
      <c r="C31" s="47" t="n">
        <f aca="false">Baseline!D26</f>
        <v>13100</v>
      </c>
      <c r="D31" s="47" t="n">
        <f aca="false">C31+D29</f>
        <v>14100</v>
      </c>
      <c r="E31" s="47" t="n">
        <f aca="false">D31+E29</f>
        <v>14600</v>
      </c>
      <c r="F31" s="47" t="n">
        <f aca="false">E31+F29</f>
        <v>13100</v>
      </c>
      <c r="G31" s="47" t="n">
        <f aca="false">F31+G29</f>
        <v>10100</v>
      </c>
      <c r="H31" s="47" t="n">
        <f aca="false">G31+H29</f>
        <v>8100</v>
      </c>
      <c r="I31" s="47" t="n">
        <f aca="false">H31+I29</f>
        <v>8100</v>
      </c>
      <c r="J31" s="47" t="n">
        <f aca="false">I31+J29</f>
        <v>8600</v>
      </c>
      <c r="K31" s="47" t="n">
        <f aca="false">J31+K29</f>
        <v>9600</v>
      </c>
      <c r="L31" s="47" t="n">
        <f aca="false">G31</f>
        <v>10100</v>
      </c>
      <c r="M31" s="47" t="n">
        <f aca="false">K31</f>
        <v>9600</v>
      </c>
      <c r="N31" s="19"/>
    </row>
    <row r="32" customFormat="false" ht="15" hidden="false" customHeight="false" outlineLevel="0" collapsed="false">
      <c r="B32" s="15" t="s">
        <v>329</v>
      </c>
      <c r="C32" s="39"/>
      <c r="D32" s="39" t="n">
        <f aca="false">D30*4/Loan_Book!D20</f>
        <v>0.0125127619614013</v>
      </c>
      <c r="E32" s="39" t="n">
        <f aca="false">E30*4/Loan_Book!E20</f>
        <v>0.0175012905145817</v>
      </c>
      <c r="F32" s="39" t="n">
        <f aca="false">F30*4/Loan_Book!F20</f>
        <v>0.0169319842671954</v>
      </c>
      <c r="G32" s="39" t="n">
        <f aca="false">G30*4/Loan_Book!G20</f>
        <v>0.0165271401420623</v>
      </c>
      <c r="H32" s="39" t="n">
        <f aca="false">H30*4/Loan_Book!H20</f>
        <v>0.0133086432803225</v>
      </c>
      <c r="I32" s="39" t="n">
        <f aca="false">I30*4/Loan_Book!I20</f>
        <v>0.0121117965981148</v>
      </c>
      <c r="J32" s="39" t="n">
        <f aca="false">J30*4/Loan_Book!J20</f>
        <v>0.00745509864754744</v>
      </c>
      <c r="K32" s="39" t="n">
        <f aca="false">K30*4/Loan_Book!K20</f>
        <v>0.00604609993975409</v>
      </c>
      <c r="L32" s="39" t="n">
        <f aca="false">L30/Loan_Book!L20</f>
        <v>0.0158860868799133</v>
      </c>
      <c r="M32" s="39" t="n">
        <f aca="false">M30/Loan_Book!M20</f>
        <v>0.00967098136416325</v>
      </c>
      <c r="N32" s="19"/>
    </row>
    <row r="33" customFormat="false" ht="15" hidden="false" customHeight="false" outlineLevel="0" collapsed="false">
      <c r="B33" s="13" t="s">
        <v>330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customFormat="false" ht="15" hidden="false" customHeight="false" outlineLevel="0" collapsed="false">
      <c r="B34" s="15" t="s">
        <v>331</v>
      </c>
      <c r="C34" s="33" t="n">
        <v>0.25</v>
      </c>
      <c r="D34" s="47" t="n">
        <f aca="false">Loan_Book!D15*NPA_Provisions!$C6*Market!D10*(1-Decisions!D19)*$C34/4</f>
        <v>500.962672056</v>
      </c>
      <c r="E34" s="47" t="n">
        <f aca="false">Loan_Book!E15*NPA_Provisions!$C6*Market!E10*(1-Decisions!E19)*$C34/4</f>
        <v>690.86977822368</v>
      </c>
      <c r="F34" s="47" t="n">
        <f aca="false">Loan_Book!F15*NPA_Provisions!$C6*Market!F10*(1-Decisions!F19)*$C34/4</f>
        <v>862.219082273132</v>
      </c>
      <c r="G34" s="47" t="n">
        <f aca="false">Loan_Book!G15*NPA_Provisions!$C6*Market!G10*(1-Decisions!G19)*$C34/4</f>
        <v>1009.79119443142</v>
      </c>
      <c r="H34" s="47" t="n">
        <f aca="false">Loan_Book!H15*NPA_Provisions!$C6*Market!H10*(1-Decisions!H19)*$C34/4</f>
        <v>923.817622251234</v>
      </c>
      <c r="I34" s="47" t="n">
        <f aca="false">Loan_Book!I15*NPA_Provisions!$C6*Market!I10*(1-Decisions!I19)*$C34/4</f>
        <v>794.121384364417</v>
      </c>
      <c r="J34" s="47" t="n">
        <f aca="false">Loan_Book!J15*NPA_Provisions!$C6*Market!J10*(1-Decisions!J19)*$C34/4</f>
        <v>641.08800911963</v>
      </c>
      <c r="K34" s="47" t="n">
        <f aca="false">Loan_Book!K15*NPA_Provisions!$C6*Market!K10*(1-Decisions!K19)*$C34/4</f>
        <v>552.645788313381</v>
      </c>
      <c r="L34" s="47" t="n">
        <f aca="false">SUM(D34:G34)</f>
        <v>3063.84272698423</v>
      </c>
      <c r="M34" s="47" t="n">
        <f aca="false">SUM(H34:K34)</f>
        <v>2911.67280404866</v>
      </c>
      <c r="N34" s="36" t="s">
        <v>332</v>
      </c>
    </row>
    <row r="35" customFormat="false" ht="15" hidden="false" customHeight="false" outlineLevel="0" collapsed="false">
      <c r="B35" s="15" t="s">
        <v>333</v>
      </c>
      <c r="C35" s="33" t="n">
        <v>0.65</v>
      </c>
      <c r="D35" s="47" t="n">
        <f aca="false">Loan_Book!D16*NPA_Provisions!$C7*Market!D10*(1-Decisions!D19)*$C35/4</f>
        <v>1603.948555209</v>
      </c>
      <c r="E35" s="47" t="n">
        <f aca="false">Loan_Book!E16*NPA_Provisions!$C7*Market!E10*(1-Decisions!E19)*$C35/4</f>
        <v>2132.8510003515</v>
      </c>
      <c r="F35" s="47" t="n">
        <f aca="false">Loan_Book!F16*NPA_Provisions!$C7*Market!F10*(1-Decisions!F19)*$C35/4</f>
        <v>2546.73658656106</v>
      </c>
      <c r="G35" s="47" t="n">
        <f aca="false">Loan_Book!G16*NPA_Provisions!$C7*Market!G10*(1-Decisions!G19)*$C35/4</f>
        <v>2864.85491301201</v>
      </c>
      <c r="H35" s="47" t="n">
        <f aca="false">Loan_Book!H16*NPA_Provisions!$C7*Market!H10*(1-Decisions!H19)*$C35/4</f>
        <v>2539.56365970728</v>
      </c>
      <c r="I35" s="47" t="n">
        <f aca="false">Loan_Book!I16*NPA_Provisions!$C7*Market!I10*(1-Decisions!I19)*$C35/4</f>
        <v>2131.54193308213</v>
      </c>
      <c r="J35" s="47" t="n">
        <f aca="false">Loan_Book!J16*NPA_Provisions!$C7*Market!J10*(1-Decisions!J19)*$C35/4</f>
        <v>1692.95736229532</v>
      </c>
      <c r="K35" s="47" t="n">
        <f aca="false">Loan_Book!K16*NPA_Provisions!$C7*Market!K10*(1-Decisions!K19)*$C35/4</f>
        <v>1443.01491318811</v>
      </c>
      <c r="L35" s="47" t="n">
        <f aca="false">SUM(D35:G35)</f>
        <v>9148.39105513357</v>
      </c>
      <c r="M35" s="47" t="n">
        <f aca="false">SUM(H35:K35)</f>
        <v>7807.07786827284</v>
      </c>
      <c r="N35" s="36" t="s">
        <v>334</v>
      </c>
    </row>
    <row r="36" customFormat="false" ht="15" hidden="false" customHeight="false" outlineLevel="0" collapsed="false">
      <c r="B36" s="15" t="s">
        <v>335</v>
      </c>
      <c r="C36" s="33" t="n">
        <v>0.4</v>
      </c>
      <c r="D36" s="47" t="n">
        <f aca="false">Loan_Book!D17*NPA_Provisions!$C8*Market!D10*(1-Decisions!D19)*$C36/4</f>
        <v>809.8896531572</v>
      </c>
      <c r="E36" s="47" t="n">
        <f aca="false">Loan_Book!E17*NPA_Provisions!$C8*Market!E10*(1-Decisions!E19)*$C36/4</f>
        <v>1112.47836686712</v>
      </c>
      <c r="F36" s="47" t="n">
        <f aca="false">Loan_Book!F17*NPA_Provisions!$C8*Market!F10*(1-Decisions!F19)*$C36/4</f>
        <v>1376.10330021604</v>
      </c>
      <c r="G36" s="47" t="n">
        <f aca="false">Loan_Book!G17*NPA_Provisions!$C8*Market!G10*(1-Decisions!G19)*$C36/4</f>
        <v>1595.75055775052</v>
      </c>
      <c r="H36" s="47" t="n">
        <f aca="false">Loan_Book!H17*NPA_Provisions!$C8*Market!H10*(1-Decisions!H19)*$C36/4</f>
        <v>1446.95577195289</v>
      </c>
      <c r="I36" s="47" t="n">
        <f aca="false">Loan_Book!I17*NPA_Provisions!$C8*Market!I10*(1-Decisions!I19)*$C36/4</f>
        <v>1235.88564108982</v>
      </c>
      <c r="J36" s="47" t="n">
        <f aca="false">Loan_Book!J17*NPA_Provisions!$C8*Market!J10*(1-Decisions!J19)*$C36/4</f>
        <v>993.817695995806</v>
      </c>
      <c r="K36" s="47" t="n">
        <f aca="false">Loan_Book!K17*NPA_Provisions!$C8*Market!K10*(1-Decisions!K19)*$C36/4</f>
        <v>855.470400889856</v>
      </c>
      <c r="L36" s="47" t="n">
        <f aca="false">SUM(D36:G36)</f>
        <v>4894.22187799087</v>
      </c>
      <c r="M36" s="47" t="n">
        <f aca="false">SUM(H36:K36)</f>
        <v>4532.12950992837</v>
      </c>
      <c r="N36" s="36" t="s">
        <v>336</v>
      </c>
    </row>
    <row r="37" customFormat="false" ht="15" hidden="false" customHeight="false" outlineLevel="0" collapsed="false">
      <c r="B37" s="15" t="s">
        <v>337</v>
      </c>
      <c r="C37" s="33" t="n">
        <v>0.45</v>
      </c>
      <c r="D37" s="47" t="n">
        <f aca="false">Loan_Book!D18*NPA_Provisions!$C9*Market!D10*(1-Decisions!D19)*$C37/4</f>
        <v>338.812432172156</v>
      </c>
      <c r="E37" s="47" t="n">
        <f aca="false">Loan_Book!E18*NPA_Provisions!$C9*Market!E10*(1-Decisions!E19)*$C37/4</f>
        <v>460.82445044625</v>
      </c>
      <c r="F37" s="47" t="n">
        <f aca="false">Loan_Book!F18*NPA_Provisions!$C9*Market!F10*(1-Decisions!F19)*$C37/4</f>
        <v>564.375544665276</v>
      </c>
      <c r="G37" s="47" t="n">
        <f aca="false">Loan_Book!G18*NPA_Provisions!$C9*Market!G10*(1-Decisions!G19)*$C37/4</f>
        <v>649.570464941527</v>
      </c>
      <c r="H37" s="47" t="n">
        <f aca="false">Loan_Book!H18*NPA_Provisions!$C9*Market!H10*(1-Decisions!H19)*$C37/4</f>
        <v>586.074951993492</v>
      </c>
      <c r="I37" s="47" t="n">
        <f aca="false">Loan_Book!I18*NPA_Provisions!$C9*Market!I10*(1-Decisions!I19)*$C37/4</f>
        <v>498.108056289634</v>
      </c>
      <c r="J37" s="47" t="n">
        <f aca="false">Loan_Book!J18*NPA_Provisions!$C9*Market!J10*(1-Decisions!J19)*$C37/4</f>
        <v>398.574959515313</v>
      </c>
      <c r="K37" s="47" t="n">
        <f aca="false">Loan_Book!K18*NPA_Provisions!$C9*Market!K10*(1-Decisions!K19)*$C37/4</f>
        <v>341.410445342477</v>
      </c>
      <c r="L37" s="47" t="n">
        <f aca="false">SUM(D37:G37)</f>
        <v>2013.58289222521</v>
      </c>
      <c r="M37" s="47" t="n">
        <f aca="false">SUM(H37:K37)</f>
        <v>1824.16841314092</v>
      </c>
      <c r="N37" s="36" t="s">
        <v>338</v>
      </c>
    </row>
    <row r="38" customFormat="false" ht="15" hidden="false" customHeight="false" outlineLevel="0" collapsed="false">
      <c r="B38" s="15" t="s">
        <v>339</v>
      </c>
      <c r="C38" s="33" t="n">
        <v>0.45</v>
      </c>
      <c r="D38" s="47" t="n">
        <f aca="false">Loan_Book!D19*NPA_Provisions!$C10*Market!D10*(1-Decisions!D19)*$C38/4</f>
        <v>229.757725491525</v>
      </c>
      <c r="E38" s="47" t="n">
        <f aca="false">Loan_Book!E19*NPA_Provisions!$C10*Market!E10*(1-Decisions!E19)*$C38/4</f>
        <v>318.724062805912</v>
      </c>
      <c r="F38" s="47" t="n">
        <f aca="false">Loan_Book!F19*NPA_Provisions!$C10*Market!F10*(1-Decisions!F19)*$C38/4</f>
        <v>400.114995941731</v>
      </c>
      <c r="G38" s="47" t="n">
        <f aca="false">Loan_Book!G19*NPA_Provisions!$C10*Market!G10*(1-Decisions!G19)*$C38/4</f>
        <v>470.904572146806</v>
      </c>
      <c r="H38" s="47" t="n">
        <f aca="false">Loan_Book!H19*NPA_Provisions!$C10*Market!H10*(1-Decisions!H19)*$C38/4</f>
        <v>432.290397230768</v>
      </c>
      <c r="I38" s="47" t="n">
        <f aca="false">Loan_Book!I19*NPA_Provisions!$C10*Market!I10*(1-Decisions!I19)*$C38/4</f>
        <v>371.961870683896</v>
      </c>
      <c r="J38" s="47" t="n">
        <f aca="false">Loan_Book!J19*NPA_Provisions!$C10*Market!J10*(1-Decisions!J19)*$C38/4</f>
        <v>299.836619519261</v>
      </c>
      <c r="K38" s="47" t="n">
        <f aca="false">Loan_Book!K19*NPA_Provisions!$C10*Market!K10*(1-Decisions!K19)*$C38/4</f>
        <v>257.459710627205</v>
      </c>
      <c r="L38" s="47" t="n">
        <f aca="false">SUM(D38:G38)</f>
        <v>1419.50135638597</v>
      </c>
      <c r="M38" s="47" t="n">
        <f aca="false">SUM(H38:K38)</f>
        <v>1361.54859806113</v>
      </c>
      <c r="N38" s="36" t="s">
        <v>338</v>
      </c>
    </row>
    <row r="39" customFormat="false" ht="15" hidden="false" customHeight="false" outlineLevel="0" collapsed="false">
      <c r="B39" s="54" t="s">
        <v>340</v>
      </c>
      <c r="C39" s="55"/>
      <c r="D39" s="55" t="n">
        <f aca="false">SUM(D34:D38)</f>
        <v>3483.37103808588</v>
      </c>
      <c r="E39" s="55" t="n">
        <f aca="false">SUM(E34:E38)</f>
        <v>4715.74765869446</v>
      </c>
      <c r="F39" s="55" t="n">
        <f aca="false">SUM(F34:F38)</f>
        <v>5749.54950965723</v>
      </c>
      <c r="G39" s="55" t="n">
        <f aca="false">SUM(G34:G38)</f>
        <v>6590.87170228228</v>
      </c>
      <c r="H39" s="55" t="n">
        <f aca="false">SUM(H34:H38)</f>
        <v>5928.70240313567</v>
      </c>
      <c r="I39" s="55" t="n">
        <f aca="false">SUM(I34:I38)</f>
        <v>5031.6188855099</v>
      </c>
      <c r="J39" s="55" t="n">
        <f aca="false">SUM(J34:J38)</f>
        <v>4026.27464644533</v>
      </c>
      <c r="K39" s="55" t="n">
        <f aca="false">SUM(K34:K38)</f>
        <v>3450.00125836103</v>
      </c>
      <c r="L39" s="55" t="n">
        <f aca="false">SUM(D39:G39)</f>
        <v>20539.5399087199</v>
      </c>
      <c r="M39" s="55" t="n">
        <f aca="false">SUM(H39:K39)</f>
        <v>18436.5971934519</v>
      </c>
      <c r="N3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341</v>
      </c>
    </row>
    <row r="2" customFormat="false" ht="15" hidden="false" customHeight="false" outlineLevel="0" collapsed="false">
      <c r="A2" s="10" t="s">
        <v>342</v>
      </c>
    </row>
    <row r="4" customFormat="false" ht="27.75" hidden="false" customHeight="true" outlineLevel="0" collapsed="false">
      <c r="B4" s="31" t="s">
        <v>128</v>
      </c>
      <c r="C4" s="32" t="s">
        <v>261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36</v>
      </c>
      <c r="M4" s="32" t="s">
        <v>37</v>
      </c>
      <c r="N4" s="32" t="s">
        <v>138</v>
      </c>
    </row>
    <row r="5" customFormat="false" ht="15" hidden="false" customHeight="false" outlineLevel="0" collapsed="false">
      <c r="B5" s="15" t="s">
        <v>343</v>
      </c>
      <c r="C5" s="39"/>
      <c r="D5" s="39" t="n">
        <f aca="false">Market!D12+Decisions!D14/10*Market!$C$23+Decisions!D16/100*Market!$C$24</f>
        <v>0.0262</v>
      </c>
      <c r="E5" s="39" t="n">
        <f aca="false">Market!E12+Decisions!E14/10*Market!$C$23+Decisions!E16/100*Market!$C$24</f>
        <v>0.0246</v>
      </c>
      <c r="F5" s="39" t="n">
        <f aca="false">Market!F12+Decisions!F14/10*Market!$C$23+Decisions!F16/100*Market!$C$24</f>
        <v>0.0232</v>
      </c>
      <c r="G5" s="39" t="n">
        <f aca="false">Market!G12+Decisions!G14/10*Market!$C$23+Decisions!G16/100*Market!$C$24</f>
        <v>0.023</v>
      </c>
      <c r="H5" s="39" t="n">
        <f aca="false">Market!H12+Decisions!H14/10*Market!$C$23+Decisions!H16/100*Market!$C$24</f>
        <v>0.0234</v>
      </c>
      <c r="I5" s="39" t="n">
        <f aca="false">Market!I12+Decisions!I14/10*Market!$C$23+Decisions!I16/100*Market!$C$24</f>
        <v>0.025</v>
      </c>
      <c r="J5" s="39" t="n">
        <f aca="false">Market!J12+Decisions!J14/10*Market!$C$23+Decisions!J16/100*Market!$C$24</f>
        <v>0.0266</v>
      </c>
      <c r="K5" s="39" t="n">
        <f aca="false">Market!K12+Decisions!K14/10*Market!$C$23+Decisions!K16/100*Market!$C$24</f>
        <v>0.0276</v>
      </c>
      <c r="L5" s="39" t="n">
        <f aca="false">L6/C6-1</f>
        <v>0.100582307619872</v>
      </c>
      <c r="M5" s="39" t="n">
        <f aca="false">M6/L6-1</f>
        <v>0.1066101098276</v>
      </c>
      <c r="N5" s="19"/>
    </row>
    <row r="6" customFormat="false" ht="15" hidden="false" customHeight="false" outlineLevel="0" collapsed="false">
      <c r="B6" s="54" t="s">
        <v>344</v>
      </c>
      <c r="C6" s="55" t="n">
        <f aca="false">Baseline!D16</f>
        <v>1794625</v>
      </c>
      <c r="D6" s="55" t="n">
        <f aca="false">C6*(1+D5)</f>
        <v>1841644.175</v>
      </c>
      <c r="E6" s="55" t="n">
        <f aca="false">D6*(1+E5)</f>
        <v>1886948.621705</v>
      </c>
      <c r="F6" s="55" t="n">
        <f aca="false">E6*(1+F5)</f>
        <v>1930725.82972856</v>
      </c>
      <c r="G6" s="55" t="n">
        <f aca="false">F6*(1+G5)</f>
        <v>1975132.52381231</v>
      </c>
      <c r="H6" s="55" t="n">
        <f aca="false">G6*(1+H5)</f>
        <v>2021350.62486952</v>
      </c>
      <c r="I6" s="55" t="n">
        <f aca="false">H6*(1+I5)</f>
        <v>2071884.39049126</v>
      </c>
      <c r="J6" s="55" t="n">
        <f aca="false">I6*(1+J5)</f>
        <v>2126996.51527833</v>
      </c>
      <c r="K6" s="55" t="n">
        <f aca="false">J6*(1+K5)</f>
        <v>2185701.61910001</v>
      </c>
      <c r="L6" s="55" t="n">
        <f aca="false">G6</f>
        <v>1975132.52381231</v>
      </c>
      <c r="M6" s="55" t="n">
        <f aca="false">K6</f>
        <v>2185701.61910001</v>
      </c>
      <c r="N6" s="19"/>
    </row>
    <row r="7" customFormat="false" ht="15" hidden="false" customHeight="false" outlineLevel="0" collapsed="false">
      <c r="B7" s="15" t="s">
        <v>65</v>
      </c>
      <c r="C7" s="35" t="n">
        <f aca="false">Baseline!D25</f>
        <v>0.414</v>
      </c>
      <c r="D7" s="35" t="n">
        <f aca="false">MIN(0.45,MAX(0.3,C7+Market!D14+Decisions!D16/100*Market!$C$25))</f>
        <v>0.4115</v>
      </c>
      <c r="E7" s="35" t="n">
        <f aca="false">MIN(0.45,MAX(0.3,D7+Market!E14+Decisions!E16/100*Market!$C$25))</f>
        <v>0.40725</v>
      </c>
      <c r="F7" s="35" t="n">
        <f aca="false">MIN(0.45,MAX(0.3,E7+Market!F14+Decisions!F16/100*Market!$C$25))</f>
        <v>0.403</v>
      </c>
      <c r="G7" s="35" t="n">
        <f aca="false">MIN(0.45,MAX(0.3,F7+Market!G14+Decisions!G16/100*Market!$C$25))</f>
        <v>0.4005</v>
      </c>
      <c r="H7" s="35" t="n">
        <f aca="false">MIN(0.45,MAX(0.3,G7+Market!H14+Decisions!H16/100*Market!$C$25))</f>
        <v>0.4</v>
      </c>
      <c r="I7" s="35" t="n">
        <f aca="false">MIN(0.45,MAX(0.3,H7+Market!I14+Decisions!I16/100*Market!$C$25))</f>
        <v>0.40175</v>
      </c>
      <c r="J7" s="35" t="n">
        <f aca="false">MIN(0.45,MAX(0.3,I7+Market!J14+Decisions!J16/100*Market!$C$25))</f>
        <v>0.40575</v>
      </c>
      <c r="K7" s="35" t="n">
        <f aca="false">MIN(0.45,MAX(0.3,J7+Market!K14+Decisions!K16/100*Market!$C$25))</f>
        <v>0.41075</v>
      </c>
      <c r="L7" s="35" t="n">
        <f aca="false">G7</f>
        <v>0.4005</v>
      </c>
      <c r="M7" s="35" t="n">
        <f aca="false">K7</f>
        <v>0.41075</v>
      </c>
      <c r="N7" s="19"/>
    </row>
    <row r="8" customFormat="false" ht="15" hidden="false" customHeight="false" outlineLevel="0" collapsed="false">
      <c r="B8" s="15" t="s">
        <v>345</v>
      </c>
      <c r="C8" s="47" t="n">
        <f aca="false">C6*C7</f>
        <v>742974.75</v>
      </c>
      <c r="D8" s="47" t="n">
        <f aca="false">D6*D7</f>
        <v>757836.5780125</v>
      </c>
      <c r="E8" s="47" t="n">
        <f aca="false">E6*E7</f>
        <v>768459.826189361</v>
      </c>
      <c r="F8" s="47" t="n">
        <f aca="false">F6*F7</f>
        <v>778082.509380608</v>
      </c>
      <c r="G8" s="47" t="n">
        <f aca="false">G6*G7</f>
        <v>791040.575786831</v>
      </c>
      <c r="H8" s="47" t="n">
        <f aca="false">H6*H7</f>
        <v>808540.249947808</v>
      </c>
      <c r="I8" s="47" t="n">
        <f aca="false">I6*I7</f>
        <v>832379.553879863</v>
      </c>
      <c r="J8" s="47" t="n">
        <f aca="false">J6*J7</f>
        <v>863028.836074181</v>
      </c>
      <c r="K8" s="47" t="n">
        <f aca="false">K6*K7</f>
        <v>897776.940045328</v>
      </c>
      <c r="L8" s="47" t="n">
        <f aca="false">G8</f>
        <v>791040.575786831</v>
      </c>
      <c r="M8" s="47" t="n">
        <f aca="false">K8</f>
        <v>897776.940045328</v>
      </c>
      <c r="N8" s="19"/>
    </row>
    <row r="9" customFormat="false" ht="15" hidden="false" customHeight="false" outlineLevel="0" collapsed="false">
      <c r="B9" s="15" t="s">
        <v>346</v>
      </c>
      <c r="C9" s="47" t="n">
        <f aca="false">C6-C8</f>
        <v>1051650.25</v>
      </c>
      <c r="D9" s="47" t="n">
        <f aca="false">D6-D8</f>
        <v>1083807.5969875</v>
      </c>
      <c r="E9" s="47" t="n">
        <f aca="false">E6-E8</f>
        <v>1118488.79551564</v>
      </c>
      <c r="F9" s="47" t="n">
        <f aca="false">F6-F8</f>
        <v>1152643.32034795</v>
      </c>
      <c r="G9" s="47" t="n">
        <f aca="false">G6-G8</f>
        <v>1184091.94802548</v>
      </c>
      <c r="H9" s="47" t="n">
        <f aca="false">H6-H8</f>
        <v>1212810.37492171</v>
      </c>
      <c r="I9" s="47" t="n">
        <f aca="false">I6-I8</f>
        <v>1239504.8366114</v>
      </c>
      <c r="J9" s="47" t="n">
        <f aca="false">J6-J8</f>
        <v>1263967.67920415</v>
      </c>
      <c r="K9" s="47" t="n">
        <f aca="false">K6-K8</f>
        <v>1287924.67905468</v>
      </c>
      <c r="L9" s="47" t="n">
        <f aca="false">G9</f>
        <v>1184091.94802548</v>
      </c>
      <c r="M9" s="47" t="n">
        <f aca="false">K9</f>
        <v>1287924.67905468</v>
      </c>
      <c r="N9" s="19"/>
    </row>
    <row r="10" customFormat="false" ht="15" hidden="false" customHeight="false" outlineLevel="0" collapsed="false">
      <c r="B10" s="15" t="s">
        <v>347</v>
      </c>
      <c r="C10" s="47"/>
      <c r="D10" s="47" t="n">
        <f aca="false">AVERAGE(C6,D6)</f>
        <v>1818134.5875</v>
      </c>
      <c r="E10" s="47" t="n">
        <f aca="false">AVERAGE(D6,E6)</f>
        <v>1864296.3983525</v>
      </c>
      <c r="F10" s="47" t="n">
        <f aca="false">AVERAGE(E6,F6)</f>
        <v>1908837.22571678</v>
      </c>
      <c r="G10" s="47" t="n">
        <f aca="false">AVERAGE(F6,G6)</f>
        <v>1952929.17677043</v>
      </c>
      <c r="H10" s="47" t="n">
        <f aca="false">AVERAGE(G6,H6)</f>
        <v>1998241.57434092</v>
      </c>
      <c r="I10" s="47" t="n">
        <f aca="false">AVERAGE(H6,I6)</f>
        <v>2046617.50768039</v>
      </c>
      <c r="J10" s="47" t="n">
        <f aca="false">AVERAGE(I6,J6)</f>
        <v>2099440.45288479</v>
      </c>
      <c r="K10" s="47" t="n">
        <f aca="false">AVERAGE(J6,K6)</f>
        <v>2156349.06718917</v>
      </c>
      <c r="L10" s="47" t="n">
        <f aca="false">AVERAGE(D10:G10)</f>
        <v>1886049.34708493</v>
      </c>
      <c r="M10" s="47" t="n">
        <f aca="false">AVERAGE(H10:K10)</f>
        <v>2075162.15052382</v>
      </c>
      <c r="N10" s="19"/>
    </row>
    <row r="11" customFormat="false" ht="15" hidden="false" customHeight="false" outlineLevel="0" collapsed="false">
      <c r="B11" s="15" t="s">
        <v>348</v>
      </c>
      <c r="C11" s="37" t="n">
        <v>0.026</v>
      </c>
      <c r="D11" s="39" t="n">
        <f aca="false">$C11+Market!$C$21*Market!D8</f>
        <v>0.026</v>
      </c>
      <c r="E11" s="39" t="n">
        <f aca="false">$C11+Market!$C$21*Market!E8</f>
        <v>0.02575</v>
      </c>
      <c r="F11" s="39" t="n">
        <f aca="false">$C11+Market!$C$21*Market!F8</f>
        <v>0.0255</v>
      </c>
      <c r="G11" s="39" t="n">
        <f aca="false">$C11+Market!$C$21*Market!G8</f>
        <v>0.02525</v>
      </c>
      <c r="H11" s="39" t="n">
        <f aca="false">$C11+Market!$C$21*Market!H8</f>
        <v>0.02525</v>
      </c>
      <c r="I11" s="39" t="n">
        <f aca="false">$C11+Market!$C$21*Market!I8</f>
        <v>0.02525</v>
      </c>
      <c r="J11" s="39" t="n">
        <f aca="false">$C11+Market!$C$21*Market!J8</f>
        <v>0.02525</v>
      </c>
      <c r="K11" s="39" t="n">
        <f aca="false">$C11+Market!$C$21*Market!K8</f>
        <v>0.0255</v>
      </c>
      <c r="L11" s="39" t="n">
        <f aca="false">AVERAGE(D11:G11)</f>
        <v>0.025625</v>
      </c>
      <c r="M11" s="39" t="n">
        <f aca="false">AVERAGE(H11:K11)</f>
        <v>0.0253125</v>
      </c>
      <c r="N11" s="36" t="s">
        <v>349</v>
      </c>
    </row>
    <row r="12" customFormat="false" ht="15" hidden="false" customHeight="false" outlineLevel="0" collapsed="false">
      <c r="B12" s="15" t="s">
        <v>350</v>
      </c>
      <c r="C12" s="37" t="n">
        <v>0.062</v>
      </c>
      <c r="D12" s="39" t="n">
        <f aca="false">$C12+Market!$C$20*Market!D8+Decisions!D14/10000</f>
        <v>0.062</v>
      </c>
      <c r="E12" s="39" t="n">
        <f aca="false">$C12+Market!$C$20*Market!E8+Decisions!E14/10000</f>
        <v>0.061875</v>
      </c>
      <c r="F12" s="39" t="n">
        <f aca="false">$C12+Market!$C$20*Market!F8+Decisions!F14/10000</f>
        <v>0.06125</v>
      </c>
      <c r="G12" s="39" t="n">
        <f aca="false">$C12+Market!$C$20*Market!G8+Decisions!G14/10000</f>
        <v>0.060125</v>
      </c>
      <c r="H12" s="39" t="n">
        <f aca="false">$C12+Market!$C$20*Market!H8+Decisions!H14/10000</f>
        <v>0.059625</v>
      </c>
      <c r="I12" s="39" t="n">
        <f aca="false">$C12+Market!$C$20*Market!I8+Decisions!I14/10000</f>
        <v>0.059125</v>
      </c>
      <c r="J12" s="39" t="n">
        <f aca="false">$C12+Market!$C$20*Market!J8+Decisions!J14/10000</f>
        <v>0.058625</v>
      </c>
      <c r="K12" s="39" t="n">
        <f aca="false">$C12+Market!$C$20*Market!K8+Decisions!K14/10000</f>
        <v>0.05975</v>
      </c>
      <c r="L12" s="39" t="n">
        <f aca="false">AVERAGE(D12:G12)</f>
        <v>0.0613125</v>
      </c>
      <c r="M12" s="39" t="n">
        <f aca="false">AVERAGE(H12:K12)</f>
        <v>0.05928125</v>
      </c>
      <c r="N12" s="36" t="s">
        <v>351</v>
      </c>
    </row>
    <row r="13" customFormat="false" ht="15" hidden="false" customHeight="false" outlineLevel="0" collapsed="false">
      <c r="B13" s="15" t="s">
        <v>352</v>
      </c>
      <c r="C13" s="39" t="n">
        <f aca="false">C7*C11+(1-C7)*C12</f>
        <v>0.047096</v>
      </c>
      <c r="D13" s="39" t="n">
        <f aca="false">D7*D11+(1-D7)*D12</f>
        <v>0.047186</v>
      </c>
      <c r="E13" s="39" t="n">
        <f aca="false">E7*E11+(1-E7)*E12</f>
        <v>0.04716309375</v>
      </c>
      <c r="F13" s="39" t="n">
        <f aca="false">F7*F11+(1-F7)*F12</f>
        <v>0.04684275</v>
      </c>
      <c r="G13" s="39" t="n">
        <f aca="false">G7*G11+(1-G7)*G12</f>
        <v>0.0461575625</v>
      </c>
      <c r="H13" s="39" t="n">
        <f aca="false">H7*H11+(1-H7)*H12</f>
        <v>0.045875</v>
      </c>
      <c r="I13" s="39" t="n">
        <f aca="false">I7*I11+(1-I7)*I12</f>
        <v>0.04551571875</v>
      </c>
      <c r="J13" s="39" t="n">
        <f aca="false">J7*J11+(1-J7)*J12</f>
        <v>0.04508309375</v>
      </c>
      <c r="K13" s="39" t="n">
        <f aca="false">K7*K11+(1-K7)*K12</f>
        <v>0.0456818125</v>
      </c>
      <c r="L13" s="39" t="n">
        <f aca="false">AVERAGE(D13:G13)</f>
        <v>0.0468373515625</v>
      </c>
      <c r="M13" s="39" t="n">
        <f aca="false">AVERAGE(H13:K13)</f>
        <v>0.04553890625</v>
      </c>
      <c r="N13" s="19"/>
    </row>
    <row r="14" customFormat="false" ht="15" hidden="false" customHeight="false" outlineLevel="0" collapsed="false">
      <c r="B14" s="54" t="s">
        <v>353</v>
      </c>
      <c r="C14" s="55"/>
      <c r="D14" s="55" t="n">
        <f aca="false">D10*D13/4</f>
        <v>21447.6246614437</v>
      </c>
      <c r="E14" s="55" t="n">
        <f aca="false">E10*E13/4</f>
        <v>21981.4964533216</v>
      </c>
      <c r="F14" s="55" t="n">
        <f aca="false">F10*F13/4</f>
        <v>22353.7962387362</v>
      </c>
      <c r="G14" s="55" t="n">
        <f aca="false">G10*G13/4</f>
        <v>22535.6126337137</v>
      </c>
      <c r="H14" s="55" t="n">
        <f aca="false">H10*H13/4</f>
        <v>22917.3330557224</v>
      </c>
      <c r="I14" s="55" t="n">
        <f aca="false">I10*I13/4</f>
        <v>23288.3167171017</v>
      </c>
      <c r="J14" s="55" t="n">
        <f aca="false">J10*J13/4</f>
        <v>23662.3176899869</v>
      </c>
      <c r="K14" s="55" t="n">
        <f aca="false">K10*K13/4</f>
        <v>24626.4834429714</v>
      </c>
      <c r="L14" s="55" t="n">
        <f aca="false">SUM(D14:G14)</f>
        <v>88318.5299872152</v>
      </c>
      <c r="M14" s="55" t="n">
        <f aca="false">SUM(H14:K14)</f>
        <v>94494.4509057823</v>
      </c>
      <c r="N14" s="19"/>
    </row>
    <row r="15" customFormat="false" ht="15" hidden="false" customHeight="false" outlineLevel="0" collapsed="false">
      <c r="B15" s="15" t="s">
        <v>354</v>
      </c>
      <c r="C15" s="51" t="n">
        <v>100000</v>
      </c>
      <c r="D15" s="47" t="n">
        <f aca="false">C15</f>
        <v>100000</v>
      </c>
      <c r="E15" s="47" t="n">
        <f aca="false">D15</f>
        <v>100000</v>
      </c>
      <c r="F15" s="47" t="n">
        <f aca="false">E15</f>
        <v>100000</v>
      </c>
      <c r="G15" s="47" t="n">
        <f aca="false">F15</f>
        <v>100000</v>
      </c>
      <c r="H15" s="47" t="n">
        <f aca="false">G15</f>
        <v>100000</v>
      </c>
      <c r="I15" s="47" t="n">
        <f aca="false">H15</f>
        <v>100000</v>
      </c>
      <c r="J15" s="47" t="n">
        <f aca="false">I15</f>
        <v>100000</v>
      </c>
      <c r="K15" s="47" t="n">
        <f aca="false">J15</f>
        <v>100000</v>
      </c>
      <c r="L15" s="47" t="n">
        <f aca="false">G15</f>
        <v>100000</v>
      </c>
      <c r="M15" s="47" t="n">
        <f aca="false">K15</f>
        <v>100000</v>
      </c>
      <c r="N15" s="36" t="s">
        <v>355</v>
      </c>
    </row>
    <row r="16" customFormat="false" ht="15" hidden="false" customHeight="false" outlineLevel="0" collapsed="false">
      <c r="B16" s="15" t="s">
        <v>356</v>
      </c>
      <c r="C16" s="37" t="n">
        <v>0.072</v>
      </c>
      <c r="D16" s="39" t="n">
        <f aca="false">$C16+0.8*Market!D8</f>
        <v>0.072</v>
      </c>
      <c r="E16" s="39" t="n">
        <f aca="false">$C16+0.8*Market!E8</f>
        <v>0.07</v>
      </c>
      <c r="F16" s="39" t="n">
        <f aca="false">$C16+0.8*Market!F8</f>
        <v>0.068</v>
      </c>
      <c r="G16" s="39" t="n">
        <f aca="false">$C16+0.8*Market!G8</f>
        <v>0.066</v>
      </c>
      <c r="H16" s="39" t="n">
        <f aca="false">$C16+0.8*Market!H8</f>
        <v>0.066</v>
      </c>
      <c r="I16" s="39" t="n">
        <f aca="false">$C16+0.8*Market!I8</f>
        <v>0.066</v>
      </c>
      <c r="J16" s="39" t="n">
        <f aca="false">$C16+0.8*Market!J8</f>
        <v>0.066</v>
      </c>
      <c r="K16" s="39" t="n">
        <f aca="false">$C16+0.8*Market!K8</f>
        <v>0.068</v>
      </c>
      <c r="L16" s="39" t="n">
        <f aca="false">AVERAGE(D16:G16)</f>
        <v>0.069</v>
      </c>
      <c r="M16" s="39" t="n">
        <f aca="false">AVERAGE(H16:K16)</f>
        <v>0.0665</v>
      </c>
      <c r="N16" s="36" t="s">
        <v>166</v>
      </c>
    </row>
    <row r="17" customFormat="false" ht="15" hidden="false" customHeight="false" outlineLevel="0" collapsed="false">
      <c r="B17" s="54" t="s">
        <v>357</v>
      </c>
      <c r="C17" s="55"/>
      <c r="D17" s="55" t="n">
        <f aca="false">AVERAGE(C15,D15)*D16/4</f>
        <v>1800</v>
      </c>
      <c r="E17" s="55" t="n">
        <f aca="false">AVERAGE(D15,E15)*E16/4</f>
        <v>1750</v>
      </c>
      <c r="F17" s="55" t="n">
        <f aca="false">AVERAGE(E15,F15)*F16/4</f>
        <v>1700</v>
      </c>
      <c r="G17" s="55" t="n">
        <f aca="false">AVERAGE(F15,G15)*G16/4</f>
        <v>1650</v>
      </c>
      <c r="H17" s="55" t="n">
        <f aca="false">AVERAGE(G15,H15)*H16/4</f>
        <v>1650</v>
      </c>
      <c r="I17" s="55" t="n">
        <f aca="false">AVERAGE(H15,I15)*I16/4</f>
        <v>1650</v>
      </c>
      <c r="J17" s="55" t="n">
        <f aca="false">AVERAGE(I15,J15)*J16/4</f>
        <v>1650</v>
      </c>
      <c r="K17" s="55" t="n">
        <f aca="false">AVERAGE(J15,K15)*K16/4</f>
        <v>1700</v>
      </c>
      <c r="L17" s="55" t="n">
        <f aca="false">SUM(D17:G17)</f>
        <v>6900</v>
      </c>
      <c r="M17" s="55" t="n">
        <f aca="false">SUM(H17:K17)</f>
        <v>6650</v>
      </c>
      <c r="N17" s="19"/>
    </row>
    <row r="18" customFormat="false" ht="15" hidden="false" customHeight="false" outlineLevel="0" collapsed="false">
      <c r="B18" s="15" t="s">
        <v>64</v>
      </c>
      <c r="C18" s="35" t="n">
        <f aca="false">Loan_Book!C11/C6</f>
        <v>0.865859441387477</v>
      </c>
      <c r="D18" s="35" t="n">
        <f aca="false">Loan_Book!D11/D6</f>
        <v>0.85813066290072</v>
      </c>
      <c r="E18" s="35" t="n">
        <f aca="false">Loan_Book!E11/E6</f>
        <v>0.847665979956545</v>
      </c>
      <c r="F18" s="35" t="n">
        <f aca="false">Loan_Book!F11/F6</f>
        <v>0.835157853415197</v>
      </c>
      <c r="G18" s="35" t="n">
        <f aca="false">Loan_Book!G11/G6</f>
        <v>0.824293568625582</v>
      </c>
      <c r="H18" s="35" t="n">
        <f aca="false">Loan_Book!H11/H6</f>
        <v>0.816160239220739</v>
      </c>
      <c r="I18" s="35" t="n">
        <f aca="false">Loan_Book!I11/I6</f>
        <v>0.809340010268427</v>
      </c>
      <c r="J18" s="35" t="n">
        <f aca="false">Loan_Book!J11/J6</f>
        <v>0.804059134226733</v>
      </c>
      <c r="K18" s="35" t="n">
        <f aca="false">Loan_Book!K11/K6</f>
        <v>0.800022452428585</v>
      </c>
      <c r="L18" s="35" t="n">
        <f aca="false">G18</f>
        <v>0.824293568625582</v>
      </c>
      <c r="M18" s="35" t="n">
        <f aca="false">K18</f>
        <v>0.800022452428585</v>
      </c>
      <c r="N1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358</v>
      </c>
    </row>
    <row r="2" customFormat="false" ht="15" hidden="false" customHeight="false" outlineLevel="0" collapsed="false">
      <c r="A2" s="10" t="s">
        <v>359</v>
      </c>
    </row>
    <row r="4" customFormat="false" ht="27.75" hidden="false" customHeight="true" outlineLevel="0" collapsed="false">
      <c r="B4" s="31" t="s">
        <v>128</v>
      </c>
      <c r="C4" s="32" t="s">
        <v>261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36</v>
      </c>
      <c r="M4" s="32" t="s">
        <v>37</v>
      </c>
      <c r="N4" s="32" t="s">
        <v>138</v>
      </c>
    </row>
    <row r="5" customFormat="false" ht="15" hidden="false" customHeight="false" outlineLevel="0" collapsed="false">
      <c r="B5" s="15" t="s">
        <v>360</v>
      </c>
      <c r="C5" s="47"/>
      <c r="D5" s="47" t="n">
        <f aca="false">Loan_Book!D28</f>
        <v>37009.2599328925</v>
      </c>
      <c r="E5" s="47" t="n">
        <f aca="false">Loan_Book!E28</f>
        <v>37071.4188442003</v>
      </c>
      <c r="F5" s="47" t="n">
        <f aca="false">Loan_Book!F28</f>
        <v>37085.6301406076</v>
      </c>
      <c r="G5" s="47" t="n">
        <f aca="false">Loan_Book!G28</f>
        <v>36749.9552302177</v>
      </c>
      <c r="H5" s="47" t="n">
        <f aca="false">Loan_Book!H28</f>
        <v>37075.782404599</v>
      </c>
      <c r="I5" s="47" t="n">
        <f aca="false">Loan_Book!I28</f>
        <v>37251.8591376549</v>
      </c>
      <c r="J5" s="47" t="n">
        <f aca="false">Loan_Book!J28</f>
        <v>37744.9091037742</v>
      </c>
      <c r="K5" s="47" t="n">
        <f aca="false">Loan_Book!K28</f>
        <v>39105.688434705</v>
      </c>
      <c r="L5" s="47" t="n">
        <f aca="false">SUM(D5:G5)</f>
        <v>147916.264147918</v>
      </c>
      <c r="M5" s="47" t="n">
        <f aca="false">SUM(H5:K5)</f>
        <v>151178.239080733</v>
      </c>
      <c r="N5" s="19"/>
    </row>
    <row r="6" customFormat="false" ht="15" hidden="false" customHeight="false" outlineLevel="0" collapsed="false">
      <c r="B6" s="15" t="s">
        <v>361</v>
      </c>
      <c r="C6" s="47"/>
      <c r="D6" s="47" t="n">
        <f aca="false">Balance_Sheet!C14*Balance_Sheet!D23/4+AVERAGE(Balance_Sheet!C13,Balance_Sheet!D13)*0.015/4</f>
        <v>9257.02891523438</v>
      </c>
      <c r="E6" s="47" t="n">
        <f aca="false">Balance_Sheet!D14*Balance_Sheet!E23/4+AVERAGE(Balance_Sheet!D13,Balance_Sheet!E13)*0.015/4</f>
        <v>9603.77715793739</v>
      </c>
      <c r="F6" s="47" t="n">
        <f aca="false">Balance_Sheet!E14*Balance_Sheet!F23/4+AVERAGE(Balance_Sheet!E13,Balance_Sheet!F13)*0.015/4</f>
        <v>9858.77533300509</v>
      </c>
      <c r="G6" s="47" t="n">
        <f aca="false">Balance_Sheet!F14*Balance_Sheet!G23/4+AVERAGE(Balance_Sheet!F13,Balance_Sheet!G13)*0.015/4</f>
        <v>10282.7191666454</v>
      </c>
      <c r="H6" s="47" t="n">
        <f aca="false">Balance_Sheet!G14*Balance_Sheet!H23/4+AVERAGE(Balance_Sheet!G13,Balance_Sheet!H13)*0.015/4</f>
        <v>10771.8405281227</v>
      </c>
      <c r="I6" s="47" t="n">
        <f aca="false">Balance_Sheet!H14*Balance_Sheet!I23/4+AVERAGE(Balance_Sheet!H13,Balance_Sheet!I13)*0.015/4</f>
        <v>11227.2177595159</v>
      </c>
      <c r="J6" s="47" t="n">
        <f aca="false">Balance_Sheet!I14*Balance_Sheet!J23/4+AVERAGE(Balance_Sheet!I13,Balance_Sheet!J13)*0.015/4</f>
        <v>11590.4192963605</v>
      </c>
      <c r="K6" s="47" t="n">
        <f aca="false">Balance_Sheet!J14*Balance_Sheet!K23/4+AVERAGE(Balance_Sheet!J13,Balance_Sheet!K13)*0.015/4</f>
        <v>12232.2517696479</v>
      </c>
      <c r="L6" s="47" t="n">
        <f aca="false">SUM(D6:G6)</f>
        <v>39002.3005728223</v>
      </c>
      <c r="M6" s="47" t="n">
        <f aca="false">SUM(H6:K6)</f>
        <v>45821.729353647</v>
      </c>
      <c r="N6" s="19"/>
    </row>
    <row r="7" customFormat="false" ht="15" hidden="false" customHeight="false" outlineLevel="0" collapsed="false">
      <c r="B7" s="54" t="s">
        <v>362</v>
      </c>
      <c r="C7" s="55"/>
      <c r="D7" s="55" t="n">
        <f aca="false">D5+D6</f>
        <v>46266.2888481269</v>
      </c>
      <c r="E7" s="55" t="n">
        <f aca="false">E5+E6</f>
        <v>46675.1960021376</v>
      </c>
      <c r="F7" s="55" t="n">
        <f aca="false">F5+F6</f>
        <v>46944.4054736127</v>
      </c>
      <c r="G7" s="55" t="n">
        <f aca="false">G5+G6</f>
        <v>47032.6743968631</v>
      </c>
      <c r="H7" s="55" t="n">
        <f aca="false">H5+H6</f>
        <v>47847.6229327217</v>
      </c>
      <c r="I7" s="55" t="n">
        <f aca="false">I5+I6</f>
        <v>48479.0768971708</v>
      </c>
      <c r="J7" s="55" t="n">
        <f aca="false">J5+J6</f>
        <v>49335.3284001347</v>
      </c>
      <c r="K7" s="55" t="n">
        <f aca="false">K5+K6</f>
        <v>51337.9402043529</v>
      </c>
      <c r="L7" s="55" t="n">
        <f aca="false">SUM(D7:G7)</f>
        <v>186918.56472074</v>
      </c>
      <c r="M7" s="55" t="n">
        <f aca="false">SUM(H7:K7)</f>
        <v>196999.96843438</v>
      </c>
      <c r="N7" s="19"/>
    </row>
    <row r="8" customFormat="false" ht="15" hidden="false" customHeight="false" outlineLevel="0" collapsed="false">
      <c r="B8" s="15" t="s">
        <v>363</v>
      </c>
      <c r="C8" s="47"/>
      <c r="D8" s="47" t="n">
        <f aca="false">Funding!D14+Funding!D17</f>
        <v>23247.6246614437</v>
      </c>
      <c r="E8" s="47" t="n">
        <f aca="false">Funding!E14+Funding!E17</f>
        <v>23731.4964533216</v>
      </c>
      <c r="F8" s="47" t="n">
        <f aca="false">Funding!F14+Funding!F17</f>
        <v>24053.7962387362</v>
      </c>
      <c r="G8" s="47" t="n">
        <f aca="false">Funding!G14+Funding!G17</f>
        <v>24185.6126337137</v>
      </c>
      <c r="H8" s="47" t="n">
        <f aca="false">Funding!H14+Funding!H17</f>
        <v>24567.3330557224</v>
      </c>
      <c r="I8" s="47" t="n">
        <f aca="false">Funding!I14+Funding!I17</f>
        <v>24938.3167171017</v>
      </c>
      <c r="J8" s="47" t="n">
        <f aca="false">Funding!J14+Funding!J17</f>
        <v>25312.3176899869</v>
      </c>
      <c r="K8" s="47" t="n">
        <f aca="false">Funding!K14+Funding!K17</f>
        <v>26326.4834429714</v>
      </c>
      <c r="L8" s="47" t="n">
        <f aca="false">SUM(D8:G8)</f>
        <v>95218.5299872152</v>
      </c>
      <c r="M8" s="47" t="n">
        <f aca="false">SUM(H8:K8)</f>
        <v>101144.450905782</v>
      </c>
      <c r="N8" s="19"/>
    </row>
    <row r="9" customFormat="false" ht="15" hidden="false" customHeight="false" outlineLevel="0" collapsed="false">
      <c r="B9" s="54" t="s">
        <v>364</v>
      </c>
      <c r="C9" s="55" t="n">
        <f aca="false">Baseline!D6</f>
        <v>88075</v>
      </c>
      <c r="D9" s="55" t="n">
        <f aca="false">D7-D8</f>
        <v>23018.6641866831</v>
      </c>
      <c r="E9" s="55" t="n">
        <f aca="false">E7-E8</f>
        <v>22943.6995488161</v>
      </c>
      <c r="F9" s="55" t="n">
        <f aca="false">F7-F8</f>
        <v>22890.6092348765</v>
      </c>
      <c r="G9" s="55" t="n">
        <f aca="false">G7-G8</f>
        <v>22847.0617631494</v>
      </c>
      <c r="H9" s="55" t="n">
        <f aca="false">H7-H8</f>
        <v>23280.2898769993</v>
      </c>
      <c r="I9" s="55" t="n">
        <f aca="false">I7-I8</f>
        <v>23540.7601800691</v>
      </c>
      <c r="J9" s="55" t="n">
        <f aca="false">J7-J8</f>
        <v>24023.0107101478</v>
      </c>
      <c r="K9" s="55" t="n">
        <f aca="false">K7-K8</f>
        <v>25011.4567613815</v>
      </c>
      <c r="L9" s="55" t="n">
        <f aca="false">SUM(D9:G9)</f>
        <v>91700.0347335251</v>
      </c>
      <c r="M9" s="55" t="n">
        <f aca="false">SUM(H9:K9)</f>
        <v>95855.5175285977</v>
      </c>
      <c r="N9" s="19" t="s">
        <v>365</v>
      </c>
    </row>
    <row r="10" customFormat="false" ht="22.35" hidden="false" customHeight="false" outlineLevel="0" collapsed="false">
      <c r="B10" s="15" t="s">
        <v>366</v>
      </c>
      <c r="C10" s="47" t="n">
        <f aca="false">Baseline!D7-1500</f>
        <v>29258</v>
      </c>
      <c r="D10" s="47" t="n">
        <f aca="false">$C10/4*Market!D15*Loan_Book!D20/Loan_Book!$C$11</f>
        <v>7007.978563</v>
      </c>
      <c r="E10" s="47" t="n">
        <f aca="false">$C10/4*Market!E15*Loan_Book!E20/Loan_Book!$C$11</f>
        <v>6735.7489136985</v>
      </c>
      <c r="F10" s="47" t="n">
        <f aca="false">$C10/4*Market!F15*Loan_Book!F20/Loan_Book!$C$11</f>
        <v>6501.33466155774</v>
      </c>
      <c r="G10" s="47" t="n">
        <f aca="false">$C10/4*Market!G15*Loan_Book!G20/Loan_Book!$C$11</f>
        <v>6406.65790290436</v>
      </c>
      <c r="H10" s="47" t="n">
        <f aca="false">$C10/4*Market!H15*Loan_Book!H20/Loan_Book!$C$11</f>
        <v>6711.81357626117</v>
      </c>
      <c r="I10" s="47" t="n">
        <f aca="false">$C10/4*Market!I15*Loan_Book!I20/Loan_Book!$C$11</f>
        <v>7203.15224727133</v>
      </c>
      <c r="J10" s="47" t="n">
        <f aca="false">$C10/4*Market!J15*Loan_Book!J20/Loan_Book!$C$11</f>
        <v>7652.99617927658</v>
      </c>
      <c r="K10" s="47" t="n">
        <f aca="false">$C10/4*Market!K15*Loan_Book!K20/Loan_Book!$C$11</f>
        <v>8140.74554249941</v>
      </c>
      <c r="L10" s="47" t="n">
        <f aca="false">SUM(D10:G10)</f>
        <v>26651.7200411606</v>
      </c>
      <c r="M10" s="47" t="n">
        <f aca="false">SUM(H10:K10)</f>
        <v>29708.7075453085</v>
      </c>
      <c r="N10" s="36" t="s">
        <v>367</v>
      </c>
    </row>
    <row r="11" customFormat="false" ht="15" hidden="false" customHeight="false" outlineLevel="0" collapsed="false">
      <c r="B11" s="15" t="s">
        <v>368</v>
      </c>
      <c r="C11" s="51" t="n">
        <v>1500</v>
      </c>
      <c r="D11" s="47" t="n">
        <f aca="false">Market!D16</f>
        <v>400</v>
      </c>
      <c r="E11" s="47" t="n">
        <f aca="false">Market!E16</f>
        <v>900</v>
      </c>
      <c r="F11" s="47" t="n">
        <f aca="false">Market!F16</f>
        <v>1100</v>
      </c>
      <c r="G11" s="47" t="n">
        <f aca="false">Market!G16</f>
        <v>700</v>
      </c>
      <c r="H11" s="47" t="n">
        <f aca="false">Market!H16</f>
        <v>300</v>
      </c>
      <c r="I11" s="47" t="n">
        <f aca="false">Market!I16</f>
        <v>200</v>
      </c>
      <c r="J11" s="47" t="n">
        <f aca="false">Market!J16</f>
        <v>100</v>
      </c>
      <c r="K11" s="47" t="n">
        <f aca="false">Market!K16</f>
        <v>-200</v>
      </c>
      <c r="L11" s="47" t="n">
        <f aca="false">SUM(D11:G11)</f>
        <v>3100</v>
      </c>
      <c r="M11" s="47" t="n">
        <f aca="false">SUM(H11:K11)</f>
        <v>400</v>
      </c>
      <c r="N11" s="19"/>
    </row>
    <row r="12" customFormat="false" ht="15" hidden="false" customHeight="false" outlineLevel="0" collapsed="false">
      <c r="B12" s="54" t="s">
        <v>369</v>
      </c>
      <c r="C12" s="55" t="n">
        <f aca="false">C9+C10+C11</f>
        <v>118833</v>
      </c>
      <c r="D12" s="55" t="n">
        <f aca="false">D9+D10+D11</f>
        <v>30426.6427496831</v>
      </c>
      <c r="E12" s="55" t="n">
        <f aca="false">E9+E10+E11</f>
        <v>30579.4484625146</v>
      </c>
      <c r="F12" s="55" t="n">
        <f aca="false">F9+F10+F11</f>
        <v>30491.9438964343</v>
      </c>
      <c r="G12" s="55" t="n">
        <f aca="false">G9+G10+G11</f>
        <v>29953.7196660537</v>
      </c>
      <c r="H12" s="55" t="n">
        <f aca="false">H9+H10+H11</f>
        <v>30292.1034532605</v>
      </c>
      <c r="I12" s="55" t="n">
        <f aca="false">I9+I10+I11</f>
        <v>30943.9124273405</v>
      </c>
      <c r="J12" s="55" t="n">
        <f aca="false">J9+J10+J11</f>
        <v>31776.0068894244</v>
      </c>
      <c r="K12" s="55" t="n">
        <f aca="false">K9+K10+K11</f>
        <v>32952.2023038809</v>
      </c>
      <c r="L12" s="55" t="n">
        <f aca="false">SUM(D12:G12)</f>
        <v>121451.754774686</v>
      </c>
      <c r="M12" s="55" t="n">
        <f aca="false">SUM(H12:K12)</f>
        <v>125964.225073906</v>
      </c>
      <c r="N12" s="19"/>
    </row>
    <row r="13" customFormat="false" ht="15" hidden="false" customHeight="false" outlineLevel="0" collapsed="false">
      <c r="B13" s="15" t="s">
        <v>370</v>
      </c>
      <c r="C13" s="47" t="n">
        <f aca="false">Baseline!D8</f>
        <v>47234</v>
      </c>
      <c r="D13" s="47" t="n">
        <f aca="false">$C13/4*(1+Decisions!D23)</f>
        <v>11985.6275</v>
      </c>
      <c r="E13" s="47" t="n">
        <f aca="false">D13*(1+Decisions!E23)</f>
        <v>12105.483775</v>
      </c>
      <c r="F13" s="47" t="n">
        <f aca="false">E13*(1+Decisions!F23)</f>
        <v>12166.011193875</v>
      </c>
      <c r="G13" s="47" t="n">
        <f aca="false">F13*(1+Decisions!G23)</f>
        <v>12226.8412498444</v>
      </c>
      <c r="H13" s="47" t="n">
        <f aca="false">G13*(1+Decisions!H23)</f>
        <v>12324.6559798431</v>
      </c>
      <c r="I13" s="47" t="n">
        <f aca="false">H13*(1+Decisions!I23)</f>
        <v>12447.9025396416</v>
      </c>
      <c r="J13" s="47" t="n">
        <f aca="false">I13*(1+Decisions!J23)</f>
        <v>12634.6210777362</v>
      </c>
      <c r="K13" s="47" t="n">
        <f aca="false">J13*(1+Decisions!K23)</f>
        <v>12862.0442571354</v>
      </c>
      <c r="L13" s="47" t="n">
        <f aca="false">SUM(D13:G13)</f>
        <v>48483.9637187194</v>
      </c>
      <c r="M13" s="47" t="n">
        <f aca="false">SUM(H13:K13)</f>
        <v>50269.2238543563</v>
      </c>
      <c r="N13" s="19"/>
    </row>
    <row r="14" customFormat="false" ht="15" hidden="false" customHeight="false" outlineLevel="0" collapsed="false">
      <c r="B14" s="15" t="s">
        <v>371</v>
      </c>
      <c r="C14" s="47" t="n">
        <v>0</v>
      </c>
      <c r="D14" s="47" t="n">
        <f aca="false">Decisions!D16+Decisions!D17+Decisions!D20</f>
        <v>600</v>
      </c>
      <c r="E14" s="47" t="n">
        <f aca="false">Decisions!E16+Decisions!E17+Decisions!E20</f>
        <v>750</v>
      </c>
      <c r="F14" s="47" t="n">
        <f aca="false">Decisions!F16+Decisions!F17+Decisions!F20</f>
        <v>800</v>
      </c>
      <c r="G14" s="47" t="n">
        <f aca="false">Decisions!G16+Decisions!G17+Decisions!G20</f>
        <v>750</v>
      </c>
      <c r="H14" s="47" t="n">
        <f aca="false">Decisions!H16+Decisions!H17+Decisions!H20</f>
        <v>670</v>
      </c>
      <c r="I14" s="47" t="n">
        <f aca="false">Decisions!I16+Decisions!I17+Decisions!I20</f>
        <v>670</v>
      </c>
      <c r="J14" s="47" t="n">
        <f aca="false">Decisions!J16+Decisions!J17+Decisions!J20</f>
        <v>650</v>
      </c>
      <c r="K14" s="47" t="n">
        <f aca="false">Decisions!K16+Decisions!K17+Decisions!K20</f>
        <v>600</v>
      </c>
      <c r="L14" s="47" t="n">
        <f aca="false">SUM(D14:G14)</f>
        <v>2900</v>
      </c>
      <c r="M14" s="47" t="n">
        <f aca="false">SUM(H14:K14)</f>
        <v>2590</v>
      </c>
      <c r="N14" s="19"/>
    </row>
    <row r="15" customFormat="false" ht="15" hidden="false" customHeight="false" outlineLevel="0" collapsed="false">
      <c r="B15" s="54" t="s">
        <v>372</v>
      </c>
      <c r="C15" s="55" t="n">
        <f aca="false">C13+C14</f>
        <v>47234</v>
      </c>
      <c r="D15" s="55" t="n">
        <f aca="false">D13+D14</f>
        <v>12585.6275</v>
      </c>
      <c r="E15" s="55" t="n">
        <f aca="false">E13+E14</f>
        <v>12855.483775</v>
      </c>
      <c r="F15" s="55" t="n">
        <f aca="false">F13+F14</f>
        <v>12966.011193875</v>
      </c>
      <c r="G15" s="55" t="n">
        <f aca="false">G13+G14</f>
        <v>12976.8412498444</v>
      </c>
      <c r="H15" s="55" t="n">
        <f aca="false">H13+H14</f>
        <v>12994.6559798431</v>
      </c>
      <c r="I15" s="55" t="n">
        <f aca="false">I13+I14</f>
        <v>13117.9025396416</v>
      </c>
      <c r="J15" s="55" t="n">
        <f aca="false">J13+J14</f>
        <v>13284.6210777362</v>
      </c>
      <c r="K15" s="55" t="n">
        <f aca="false">K13+K14</f>
        <v>13462.0442571354</v>
      </c>
      <c r="L15" s="55" t="n">
        <f aca="false">SUM(D15:G15)</f>
        <v>51383.9637187194</v>
      </c>
      <c r="M15" s="55" t="n">
        <f aca="false">SUM(H15:K15)</f>
        <v>52859.2238543563</v>
      </c>
      <c r="N15" s="19"/>
    </row>
    <row r="16" customFormat="false" ht="15" hidden="false" customHeight="false" outlineLevel="0" collapsed="false">
      <c r="B16" s="54" t="s">
        <v>373</v>
      </c>
      <c r="C16" s="55" t="n">
        <f aca="false">C12-C15</f>
        <v>71599</v>
      </c>
      <c r="D16" s="55" t="n">
        <f aca="false">D12-D15</f>
        <v>17841.0152496831</v>
      </c>
      <c r="E16" s="55" t="n">
        <f aca="false">E12-E15</f>
        <v>17723.9646875146</v>
      </c>
      <c r="F16" s="55" t="n">
        <f aca="false">F12-F15</f>
        <v>17525.9327025593</v>
      </c>
      <c r="G16" s="55" t="n">
        <f aca="false">G12-G15</f>
        <v>16976.8784162093</v>
      </c>
      <c r="H16" s="55" t="n">
        <f aca="false">H12-H15</f>
        <v>17297.4474734173</v>
      </c>
      <c r="I16" s="55" t="n">
        <f aca="false">I12-I15</f>
        <v>17826.0098876989</v>
      </c>
      <c r="J16" s="55" t="n">
        <f aca="false">J12-J15</f>
        <v>18491.3858116882</v>
      </c>
      <c r="K16" s="55" t="n">
        <f aca="false">K12-K15</f>
        <v>19490.1580467455</v>
      </c>
      <c r="L16" s="55" t="n">
        <f aca="false">SUM(D16:G16)</f>
        <v>70067.7910559663</v>
      </c>
      <c r="M16" s="55" t="n">
        <f aca="false">SUM(H16:K16)</f>
        <v>73105.0012195499</v>
      </c>
      <c r="N16" s="19"/>
    </row>
    <row r="17" customFormat="false" ht="15" hidden="false" customHeight="false" outlineLevel="0" collapsed="false">
      <c r="B17" s="15" t="s">
        <v>236</v>
      </c>
      <c r="C17" s="47" t="n">
        <f aca="false">Baseline!D10</f>
        <v>5380</v>
      </c>
      <c r="D17" s="47" t="n">
        <f aca="false">NPA_Provisions!D30</f>
        <v>4902.28794618584</v>
      </c>
      <c r="E17" s="47" t="n">
        <f aca="false">NPA_Provisions!E30</f>
        <v>6956.48621690591</v>
      </c>
      <c r="F17" s="47" t="n">
        <f aca="false">NPA_Provisions!F30</f>
        <v>6798.11335599296</v>
      </c>
      <c r="G17" s="47" t="n">
        <f aca="false">NPA_Provisions!G30</f>
        <v>6694.62774235484</v>
      </c>
      <c r="H17" s="47" t="n">
        <f aca="false">NPA_Provisions!H30</f>
        <v>5452.94217004253</v>
      </c>
      <c r="I17" s="47" t="n">
        <f aca="false">NPA_Provisions!I30</f>
        <v>5036.3953046198</v>
      </c>
      <c r="J17" s="47" t="n">
        <f aca="false">NPA_Provisions!J30</f>
        <v>3156.38617631761</v>
      </c>
      <c r="K17" s="47" t="n">
        <f aca="false">NPA_Provisions!K30</f>
        <v>2614.06255683527</v>
      </c>
      <c r="L17" s="47" t="n">
        <f aca="false">SUM(D17:G17)</f>
        <v>25351.5152614395</v>
      </c>
      <c r="M17" s="47" t="n">
        <f aca="false">SUM(H17:K17)</f>
        <v>16259.7862078152</v>
      </c>
      <c r="N17" s="19" t="s">
        <v>374</v>
      </c>
    </row>
    <row r="18" customFormat="false" ht="15" hidden="false" customHeight="false" outlineLevel="0" collapsed="false">
      <c r="B18" s="54" t="s">
        <v>375</v>
      </c>
      <c r="C18" s="55" t="n">
        <f aca="false">C16-C17</f>
        <v>66219</v>
      </c>
      <c r="D18" s="55" t="n">
        <f aca="false">D16-D17</f>
        <v>12938.7273034973</v>
      </c>
      <c r="E18" s="55" t="n">
        <f aca="false">E16-E17</f>
        <v>10767.4784706087</v>
      </c>
      <c r="F18" s="55" t="n">
        <f aca="false">F16-F17</f>
        <v>10727.8193465663</v>
      </c>
      <c r="G18" s="55" t="n">
        <f aca="false">G16-G17</f>
        <v>10282.2506738545</v>
      </c>
      <c r="H18" s="55" t="n">
        <f aca="false">H16-H17</f>
        <v>11844.5053033748</v>
      </c>
      <c r="I18" s="55" t="n">
        <f aca="false">I16-I17</f>
        <v>12789.6145830791</v>
      </c>
      <c r="J18" s="55" t="n">
        <f aca="false">J16-J17</f>
        <v>15334.9996353706</v>
      </c>
      <c r="K18" s="55" t="n">
        <f aca="false">K16-K17</f>
        <v>16876.0954899102</v>
      </c>
      <c r="L18" s="55" t="n">
        <f aca="false">SUM(D18:G18)</f>
        <v>44716.2757945268</v>
      </c>
      <c r="M18" s="55" t="n">
        <f aca="false">SUM(H18:K18)</f>
        <v>56845.2150117347</v>
      </c>
      <c r="N18" s="19"/>
    </row>
    <row r="19" customFormat="false" ht="15" hidden="false" customHeight="false" outlineLevel="0" collapsed="false">
      <c r="B19" s="15" t="s">
        <v>240</v>
      </c>
      <c r="C19" s="47" t="n">
        <f aca="false">C18-C21</f>
        <v>16072</v>
      </c>
      <c r="D19" s="47" t="n">
        <f aca="false">MAX(0,D18)*Market!$C$29</f>
        <v>3256.67766229027</v>
      </c>
      <c r="E19" s="47" t="n">
        <f aca="false">MAX(0,E18)*Market!$C$29</f>
        <v>2710.1743310522</v>
      </c>
      <c r="F19" s="47" t="n">
        <f aca="false">MAX(0,F18)*Market!$C$29</f>
        <v>2700.19212953074</v>
      </c>
      <c r="G19" s="47" t="n">
        <f aca="false">MAX(0,G18)*Market!$C$29</f>
        <v>2588.04249460918</v>
      </c>
      <c r="H19" s="47" t="n">
        <f aca="false">MAX(0,H18)*Market!$C$29</f>
        <v>2981.26198485944</v>
      </c>
      <c r="I19" s="47" t="n">
        <f aca="false">MAX(0,I18)*Market!$C$29</f>
        <v>3219.14599056101</v>
      </c>
      <c r="J19" s="47" t="n">
        <f aca="false">MAX(0,J18)*Market!$C$29</f>
        <v>3859.81940822277</v>
      </c>
      <c r="K19" s="47" t="n">
        <f aca="false">MAX(0,K18)*Market!$C$29</f>
        <v>4247.7132348104</v>
      </c>
      <c r="L19" s="47" t="n">
        <f aca="false">SUM(D19:G19)</f>
        <v>11255.0866174824</v>
      </c>
      <c r="M19" s="47" t="n">
        <f aca="false">SUM(H19:K19)</f>
        <v>14307.9406184536</v>
      </c>
      <c r="N19" s="19"/>
    </row>
    <row r="21" customFormat="false" ht="15" hidden="false" customHeight="false" outlineLevel="0" collapsed="false">
      <c r="B21" s="54" t="s">
        <v>376</v>
      </c>
      <c r="C21" s="55" t="n">
        <f aca="false">Baseline!D13</f>
        <v>50147</v>
      </c>
      <c r="D21" s="55" t="n">
        <f aca="false">D18-D19</f>
        <v>9682.04964120702</v>
      </c>
      <c r="E21" s="55" t="n">
        <f aca="false">E18-E19</f>
        <v>8057.30413955646</v>
      </c>
      <c r="F21" s="55" t="n">
        <f aca="false">F18-F19</f>
        <v>8027.62721703556</v>
      </c>
      <c r="G21" s="55" t="n">
        <f aca="false">G18-G19</f>
        <v>7694.20817924533</v>
      </c>
      <c r="H21" s="55" t="n">
        <f aca="false">H18-H19</f>
        <v>8863.24331851536</v>
      </c>
      <c r="I21" s="55" t="n">
        <f aca="false">I18-I19</f>
        <v>9570.4685925181</v>
      </c>
      <c r="J21" s="55" t="n">
        <f aca="false">J18-J19</f>
        <v>11475.1802271478</v>
      </c>
      <c r="K21" s="55" t="n">
        <f aca="false">K18-K19</f>
        <v>12628.3822550998</v>
      </c>
      <c r="L21" s="55" t="n">
        <f aca="false">SUM(D21:G21)</f>
        <v>33461.1891770444</v>
      </c>
      <c r="M21" s="55" t="n">
        <f aca="false">SUM(H21:K21)</f>
        <v>42537.2743932811</v>
      </c>
      <c r="N21" s="19" t="s">
        <v>377</v>
      </c>
    </row>
    <row r="22" customFormat="false" ht="15" hidden="false" customHeight="false" outlineLevel="0" collapsed="false">
      <c r="B22" s="13" t="s">
        <v>378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15" hidden="false" customHeight="false" outlineLevel="0" collapsed="false">
      <c r="B23" s="15" t="s">
        <v>379</v>
      </c>
      <c r="C23" s="39" t="n">
        <f aca="false">C9/((Balance_Sheet!C13+Balance_Sheet!C14+Balance_Sheet!C15))</f>
        <v>0.0396996931753489</v>
      </c>
      <c r="D23" s="39" t="n">
        <f aca="false">D9*4/(AVERAGE(Balance_Sheet!C13,Balance_Sheet!D13)+Balance_Sheet!D24+Loan_Book!D20)</f>
        <v>0.0409704309375463</v>
      </c>
      <c r="E23" s="39" t="n">
        <f aca="false">E9*4/(AVERAGE(Balance_Sheet!D13,Balance_Sheet!E13)+Balance_Sheet!E24+Loan_Book!E20)</f>
        <v>0.0399234955792074</v>
      </c>
      <c r="F23" s="39" t="n">
        <f aca="false">F9*4/(AVERAGE(Balance_Sheet!E13,Balance_Sheet!F13)+Balance_Sheet!F24+Loan_Book!F20)</f>
        <v>0.0390210067332946</v>
      </c>
      <c r="G23" s="39" t="n">
        <f aca="false">G9*4/(AVERAGE(Balance_Sheet!F13,Balance_Sheet!G13)+Balance_Sheet!G24+Loan_Book!G20)</f>
        <v>0.0381401158019975</v>
      </c>
      <c r="H23" s="39" t="n">
        <f aca="false">H9*4/(AVERAGE(Balance_Sheet!G13,Balance_Sheet!H13)+Balance_Sheet!H24+Loan_Book!H20)</f>
        <v>0.0380531371899647</v>
      </c>
      <c r="I23" s="39" t="n">
        <f aca="false">I9*4/(AVERAGE(Balance_Sheet!H13,Balance_Sheet!I13)+Balance_Sheet!I24+Loan_Book!I20)</f>
        <v>0.0376639707485495</v>
      </c>
      <c r="J23" s="39" t="n">
        <f aca="false">J9*4/(AVERAGE(Balance_Sheet!I13,Balance_Sheet!J13)+Balance_Sheet!J24+Loan_Book!J20)</f>
        <v>0.0375354638676925</v>
      </c>
      <c r="K23" s="39" t="n">
        <f aca="false">K9*4/(AVERAGE(Balance_Sheet!J13,Balance_Sheet!K13)+Balance_Sheet!K24+Loan_Book!K20)</f>
        <v>0.0380450289168459</v>
      </c>
      <c r="L23" s="39" t="n">
        <f aca="false">L9/(AVERAGE(Balance_Sheet!C13,Balance_Sheet!G13)+Balance_Sheet!L24+Loan_Book!L20)</f>
        <v>0.0394902626456906</v>
      </c>
      <c r="M23" s="39" t="n">
        <f aca="false">M9/(AVERAGE(Balance_Sheet!G13,Balance_Sheet!K13)+Balance_Sheet!M24+Loan_Book!M20)</f>
        <v>0.0378184355969388</v>
      </c>
      <c r="N23" s="19"/>
    </row>
    <row r="24" customFormat="false" ht="15" hidden="false" customHeight="false" outlineLevel="0" collapsed="false">
      <c r="B24" s="15" t="s">
        <v>380</v>
      </c>
      <c r="C24" s="35" t="n">
        <f aca="false">C15/C12</f>
        <v>0.397482180875683</v>
      </c>
      <c r="D24" s="35" t="n">
        <f aca="false">D15/D12</f>
        <v>0.413638389339917</v>
      </c>
      <c r="E24" s="35" t="n">
        <f aca="false">E15/E12</f>
        <v>0.420396194874435</v>
      </c>
      <c r="F24" s="35" t="n">
        <f aca="false">F15/F12</f>
        <v>0.425227438365819</v>
      </c>
      <c r="G24" s="35" t="n">
        <f aca="false">G15/G12</f>
        <v>0.433229708848177</v>
      </c>
      <c r="H24" s="35" t="n">
        <f aca="false">H15/H12</f>
        <v>0.428978330933452</v>
      </c>
      <c r="I24" s="35" t="n">
        <f aca="false">I15/I12</f>
        <v>0.423925144257171</v>
      </c>
      <c r="J24" s="35" t="n">
        <f aca="false">J15/J12</f>
        <v>0.418070814371505</v>
      </c>
      <c r="K24" s="35" t="n">
        <f aca="false">K15/K12</f>
        <v>0.408532459621066</v>
      </c>
      <c r="L24" s="35" t="n">
        <f aca="false">L15/L12</f>
        <v>0.423081278768229</v>
      </c>
      <c r="M24" s="35" t="n">
        <f aca="false">M15/M12</f>
        <v>0.419636796267691</v>
      </c>
      <c r="N24" s="19"/>
    </row>
    <row r="25" customFormat="false" ht="15" hidden="false" customHeight="false" outlineLevel="0" collapsed="false">
      <c r="B25" s="15" t="s">
        <v>381</v>
      </c>
      <c r="C25" s="39" t="n">
        <f aca="false">C21/AVERAGE(Baseline!C15,Baseline!D15)</f>
        <v>0.0223333587929556</v>
      </c>
      <c r="D25" s="39" t="n">
        <f aca="false">D21*4/AVERAGE(Balance_Sheet!C18,Balance_Sheet!D18)</f>
        <v>0.0161274652750433</v>
      </c>
      <c r="E25" s="39" t="n">
        <f aca="false">E21*4/AVERAGE(Balance_Sheet!D18,Balance_Sheet!E18)</f>
        <v>0.0131393416648182</v>
      </c>
      <c r="F25" s="39" t="n">
        <f aca="false">F21*4/AVERAGE(Balance_Sheet!E18,Balance_Sheet!F18)</f>
        <v>0.0128407191251244</v>
      </c>
      <c r="G25" s="39" t="n">
        <f aca="false">G21*4/AVERAGE(Balance_Sheet!F18,Balance_Sheet!G18)</f>
        <v>0.0120675418915843</v>
      </c>
      <c r="H25" s="39" t="n">
        <f aca="false">H21*4/AVERAGE(Balance_Sheet!G18,Balance_Sheet!H18)</f>
        <v>0.0136280413646006</v>
      </c>
      <c r="I25" s="39" t="n">
        <f aca="false">I21*4/AVERAGE(Balance_Sheet!H18,Balance_Sheet!I18)</f>
        <v>0.014421527203448</v>
      </c>
      <c r="J25" s="39" t="n">
        <f aca="false">J21*4/AVERAGE(Balance_Sheet!I18,Balance_Sheet!J18)</f>
        <v>0.0169093264904017</v>
      </c>
      <c r="K25" s="39" t="n">
        <f aca="false">K21*4/AVERAGE(Balance_Sheet!J18,Balance_Sheet!K18)</f>
        <v>0.0181427197881756</v>
      </c>
      <c r="L25" s="39" t="n">
        <f aca="false">L21/AVERAGE(Balance_Sheet!C18,Balance_Sheet!G18)</f>
        <v>0.0135266059061722</v>
      </c>
      <c r="M25" s="39" t="n">
        <f aca="false">M21/AVERAGE(Balance_Sheet!G18,Balance_Sheet!K18)</f>
        <v>0.0157681832267234</v>
      </c>
      <c r="N25" s="19"/>
    </row>
    <row r="26" customFormat="false" ht="15" hidden="false" customHeight="false" outlineLevel="0" collapsed="false">
      <c r="B26" s="15" t="s">
        <v>382</v>
      </c>
      <c r="C26" s="39" t="n">
        <f aca="false">C21/AVERAGE(Balance_Sheet!C10-C21+7850,Balance_Sheet!C10)</f>
        <v>0.151432199461576</v>
      </c>
      <c r="D26" s="39" t="n">
        <f aca="false">D21*4/AVERAGE(Balance_Sheet!C10,Balance_Sheet!D10)</f>
        <v>0.108439512330687</v>
      </c>
      <c r="E26" s="39" t="n">
        <f aca="false">E21*4/AVERAGE(Balance_Sheet!D10,Balance_Sheet!E10)</f>
        <v>0.0890982512647809</v>
      </c>
      <c r="F26" s="39" t="n">
        <f aca="false">F21*4/AVERAGE(Balance_Sheet!E10,Balance_Sheet!F10)</f>
        <v>0.087857214829025</v>
      </c>
      <c r="G26" s="39" t="n">
        <f aca="false">G21*4/AVERAGE(Balance_Sheet!F10,Balance_Sheet!G10)</f>
        <v>0.0824351290834473</v>
      </c>
      <c r="H26" s="39" t="n">
        <f aca="false">H21*4/AVERAGE(Balance_Sheet!G10,Balance_Sheet!H10)</f>
        <v>0.0929000742807286</v>
      </c>
      <c r="I26" s="39" t="n">
        <f aca="false">I21*4/AVERAGE(Balance_Sheet!H10,Balance_Sheet!I10)</f>
        <v>0.0988501810297709</v>
      </c>
      <c r="J26" s="39" t="n">
        <f aca="false">J21*4/AVERAGE(Balance_Sheet!I10,Balance_Sheet!J10)</f>
        <v>0.116432951105294</v>
      </c>
      <c r="K26" s="39" t="n">
        <f aca="false">K21*4/AVERAGE(Balance_Sheet!J10,Balance_Sheet!K10)</f>
        <v>0.124332953821501</v>
      </c>
      <c r="L26" s="39" t="n">
        <f aca="false">L21/AVERAGE(Balance_Sheet!C10,Balance_Sheet!G10)</f>
        <v>0.0917381811742275</v>
      </c>
      <c r="M26" s="39" t="n">
        <f aca="false">M21/AVERAGE(Balance_Sheet!G10,Balance_Sheet!K10)</f>
        <v>0.107718801839743</v>
      </c>
      <c r="N26" s="19" t="s">
        <v>383</v>
      </c>
    </row>
    <row r="27" customFormat="false" ht="15" hidden="false" customHeight="false" outlineLevel="0" collapsed="false">
      <c r="B27" s="15" t="s">
        <v>384</v>
      </c>
      <c r="C27" s="35" t="n">
        <f aca="false">(C10+C11)/C12</f>
        <v>0.258833825620829</v>
      </c>
      <c r="D27" s="35" t="n">
        <f aca="false">(D10+D11)/D12</f>
        <v>0.243470126623719</v>
      </c>
      <c r="E27" s="35" t="n">
        <f aca="false">(E10+E11)/E12</f>
        <v>0.249701982789477</v>
      </c>
      <c r="F27" s="35" t="n">
        <f aca="false">(F10+F11)/F12</f>
        <v>0.249289933346842</v>
      </c>
      <c r="G27" s="35" t="n">
        <f aca="false">(G10+G11)/G12</f>
        <v>0.237254604173861</v>
      </c>
      <c r="H27" s="35" t="n">
        <f aca="false">(H10+H11)/H12</f>
        <v>0.231473314062859</v>
      </c>
      <c r="I27" s="35" t="n">
        <f aca="false">(I10+I11)/I12</f>
        <v>0.239244221772366</v>
      </c>
      <c r="J27" s="35" t="n">
        <f aca="false">(J10+J11)/J12</f>
        <v>0.243989001080464</v>
      </c>
      <c r="K27" s="35" t="n">
        <f aca="false">(K10+K11)/K12</f>
        <v>0.240977688509888</v>
      </c>
      <c r="L27" s="35" t="n">
        <f aca="false">(L10+L11)/L12</f>
        <v>0.244967395459664</v>
      </c>
      <c r="M27" s="35" t="n">
        <f aca="false">(M10+M11)/M12</f>
        <v>0.239025862522815</v>
      </c>
      <c r="N2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385</v>
      </c>
    </row>
    <row r="2" customFormat="false" ht="15" hidden="false" customHeight="false" outlineLevel="0" collapsed="false">
      <c r="A2" s="10" t="s">
        <v>386</v>
      </c>
    </row>
    <row r="4" customFormat="false" ht="27.75" hidden="false" customHeight="true" outlineLevel="0" collapsed="false">
      <c r="B4" s="31" t="s">
        <v>128</v>
      </c>
      <c r="C4" s="32" t="s">
        <v>261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36</v>
      </c>
      <c r="M4" s="32" t="s">
        <v>37</v>
      </c>
      <c r="N4" s="32" t="s">
        <v>138</v>
      </c>
    </row>
    <row r="5" customFormat="false" ht="15" hidden="false" customHeight="false" outlineLevel="0" collapsed="false">
      <c r="B5" s="13" t="s">
        <v>387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67</v>
      </c>
      <c r="C6" s="47" t="n">
        <f aca="false">Funding!C6</f>
        <v>1794625</v>
      </c>
      <c r="D6" s="47" t="n">
        <f aca="false">Funding!D6</f>
        <v>1841644.175</v>
      </c>
      <c r="E6" s="47" t="n">
        <f aca="false">Funding!E6</f>
        <v>1886948.621705</v>
      </c>
      <c r="F6" s="47" t="n">
        <f aca="false">Funding!F6</f>
        <v>1930725.82972856</v>
      </c>
      <c r="G6" s="47" t="n">
        <f aca="false">Funding!G6</f>
        <v>1975132.52381231</v>
      </c>
      <c r="H6" s="47" t="n">
        <f aca="false">Funding!H6</f>
        <v>2021350.62486952</v>
      </c>
      <c r="I6" s="47" t="n">
        <f aca="false">Funding!I6</f>
        <v>2071884.39049126</v>
      </c>
      <c r="J6" s="47" t="n">
        <f aca="false">Funding!J6</f>
        <v>2126996.51527833</v>
      </c>
      <c r="K6" s="47" t="n">
        <f aca="false">Funding!K6</f>
        <v>2185701.61910001</v>
      </c>
      <c r="L6" s="47" t="n">
        <f aca="false">G6</f>
        <v>1975132.52381231</v>
      </c>
      <c r="M6" s="47" t="n">
        <f aca="false">K6</f>
        <v>2185701.61910001</v>
      </c>
      <c r="N6" s="19"/>
    </row>
    <row r="7" customFormat="false" ht="15" hidden="false" customHeight="false" outlineLevel="0" collapsed="false">
      <c r="B7" s="15" t="s">
        <v>354</v>
      </c>
      <c r="C7" s="47" t="n">
        <f aca="false">Funding!C15</f>
        <v>100000</v>
      </c>
      <c r="D7" s="47" t="n">
        <f aca="false">Funding!D15</f>
        <v>100000</v>
      </c>
      <c r="E7" s="47" t="n">
        <f aca="false">Funding!E15</f>
        <v>100000</v>
      </c>
      <c r="F7" s="47" t="n">
        <f aca="false">Funding!F15</f>
        <v>100000</v>
      </c>
      <c r="G7" s="47" t="n">
        <f aca="false">Funding!G15</f>
        <v>100000</v>
      </c>
      <c r="H7" s="47" t="n">
        <f aca="false">Funding!H15</f>
        <v>100000</v>
      </c>
      <c r="I7" s="47" t="n">
        <f aca="false">Funding!I15</f>
        <v>100000</v>
      </c>
      <c r="J7" s="47" t="n">
        <f aca="false">Funding!J15</f>
        <v>100000</v>
      </c>
      <c r="K7" s="47" t="n">
        <f aca="false">Funding!K15</f>
        <v>100000</v>
      </c>
      <c r="L7" s="47" t="n">
        <f aca="false">G7</f>
        <v>100000</v>
      </c>
      <c r="M7" s="47" t="n">
        <f aca="false">K7</f>
        <v>100000</v>
      </c>
      <c r="N7" s="19"/>
    </row>
    <row r="8" customFormat="false" ht="15" hidden="false" customHeight="false" outlineLevel="0" collapsed="false">
      <c r="B8" s="15" t="s">
        <v>388</v>
      </c>
      <c r="C8" s="47" t="n">
        <f aca="false">C11-C6-C7-C9-C10</f>
        <v>112506</v>
      </c>
      <c r="D8" s="47" t="n">
        <f aca="false">C8</f>
        <v>112506</v>
      </c>
      <c r="E8" s="47" t="n">
        <f aca="false">D8</f>
        <v>112506</v>
      </c>
      <c r="F8" s="47" t="n">
        <f aca="false">E8</f>
        <v>112506</v>
      </c>
      <c r="G8" s="47" t="n">
        <f aca="false">F8</f>
        <v>112506</v>
      </c>
      <c r="H8" s="47" t="n">
        <f aca="false">G8</f>
        <v>112506</v>
      </c>
      <c r="I8" s="47" t="n">
        <f aca="false">H8</f>
        <v>112506</v>
      </c>
      <c r="J8" s="47" t="n">
        <f aca="false">I8</f>
        <v>112506</v>
      </c>
      <c r="K8" s="47" t="n">
        <f aca="false">J8</f>
        <v>112506</v>
      </c>
      <c r="L8" s="47" t="n">
        <f aca="false">G8</f>
        <v>112506</v>
      </c>
      <c r="M8" s="47" t="n">
        <f aca="false">K8</f>
        <v>112506</v>
      </c>
      <c r="N8" s="36" t="s">
        <v>389</v>
      </c>
    </row>
    <row r="9" customFormat="false" ht="15" hidden="false" customHeight="false" outlineLevel="0" collapsed="false">
      <c r="B9" s="15" t="s">
        <v>390</v>
      </c>
      <c r="C9" s="47" t="n">
        <f aca="false">NPA_Provisions!C31</f>
        <v>13100</v>
      </c>
      <c r="D9" s="47" t="n">
        <f aca="false">NPA_Provisions!D31</f>
        <v>14100</v>
      </c>
      <c r="E9" s="47" t="n">
        <f aca="false">NPA_Provisions!E31</f>
        <v>14600</v>
      </c>
      <c r="F9" s="47" t="n">
        <f aca="false">NPA_Provisions!F31</f>
        <v>13100</v>
      </c>
      <c r="G9" s="47" t="n">
        <f aca="false">NPA_Provisions!G31</f>
        <v>10100</v>
      </c>
      <c r="H9" s="47" t="n">
        <f aca="false">NPA_Provisions!H31</f>
        <v>8100</v>
      </c>
      <c r="I9" s="47" t="n">
        <f aca="false">NPA_Provisions!I31</f>
        <v>8100</v>
      </c>
      <c r="J9" s="47" t="n">
        <f aca="false">NPA_Provisions!J31</f>
        <v>8600</v>
      </c>
      <c r="K9" s="47" t="n">
        <f aca="false">NPA_Provisions!K31</f>
        <v>9600</v>
      </c>
      <c r="L9" s="47" t="n">
        <f aca="false">G9</f>
        <v>10100</v>
      </c>
      <c r="M9" s="47" t="n">
        <f aca="false">K9</f>
        <v>9600</v>
      </c>
      <c r="N9" s="19"/>
    </row>
    <row r="10" customFormat="false" ht="22.35" hidden="false" customHeight="false" outlineLevel="0" collapsed="false">
      <c r="B10" s="15" t="s">
        <v>391</v>
      </c>
      <c r="C10" s="51" t="n">
        <v>352300</v>
      </c>
      <c r="D10" s="47" t="n">
        <f aca="false">C10+'P&amp;L'!D21-Decisions!D25</f>
        <v>361982.049641207</v>
      </c>
      <c r="E10" s="47" t="n">
        <f aca="false">D10+'P&amp;L'!E21-Decisions!E25</f>
        <v>361471.353780764</v>
      </c>
      <c r="F10" s="47" t="n">
        <f aca="false">E10+'P&amp;L'!F21-Decisions!F25</f>
        <v>369498.980997799</v>
      </c>
      <c r="G10" s="47" t="n">
        <f aca="false">F10+'P&amp;L'!G21-Decisions!G25</f>
        <v>377193.189177044</v>
      </c>
      <c r="H10" s="47" t="n">
        <f aca="false">G10+'P&amp;L'!H21-Decisions!H25</f>
        <v>386056.43249556</v>
      </c>
      <c r="I10" s="47" t="n">
        <f aca="false">H10+'P&amp;L'!I21-Decisions!I25</f>
        <v>388486.901088078</v>
      </c>
      <c r="J10" s="47" t="n">
        <f aca="false">I10+'P&amp;L'!J21-Decisions!J25</f>
        <v>399962.081315226</v>
      </c>
      <c r="K10" s="47" t="n">
        <f aca="false">J10+'P&amp;L'!K21-Decisions!K25</f>
        <v>412590.463570326</v>
      </c>
      <c r="L10" s="47" t="n">
        <f aca="false">G10</f>
        <v>377193.189177044</v>
      </c>
      <c r="M10" s="47" t="n">
        <f aca="false">K10</f>
        <v>412590.463570326</v>
      </c>
      <c r="N10" s="36" t="s">
        <v>392</v>
      </c>
    </row>
    <row r="11" customFormat="false" ht="15" hidden="false" customHeight="false" outlineLevel="0" collapsed="false">
      <c r="B11" s="54" t="s">
        <v>393</v>
      </c>
      <c r="C11" s="55" t="n">
        <f aca="false">Baseline!D15</f>
        <v>2372531</v>
      </c>
      <c r="D11" s="55" t="n">
        <f aca="false">SUM(D6:D10)</f>
        <v>2430232.22464121</v>
      </c>
      <c r="E11" s="55" t="n">
        <f aca="false">SUM(E6:E10)</f>
        <v>2475525.97548576</v>
      </c>
      <c r="F11" s="55" t="n">
        <f aca="false">SUM(F6:F10)</f>
        <v>2525830.81072636</v>
      </c>
      <c r="G11" s="55" t="n">
        <f aca="false">SUM(G6:G10)</f>
        <v>2574931.71298936</v>
      </c>
      <c r="H11" s="55" t="n">
        <f aca="false">SUM(H6:H10)</f>
        <v>2628013.05736508</v>
      </c>
      <c r="I11" s="55" t="n">
        <f aca="false">SUM(I6:I10)</f>
        <v>2680977.29157934</v>
      </c>
      <c r="J11" s="55" t="n">
        <f aca="false">SUM(J6:J10)</f>
        <v>2748064.59659355</v>
      </c>
      <c r="K11" s="55" t="n">
        <f aca="false">SUM(K6:K10)</f>
        <v>2820398.08267033</v>
      </c>
      <c r="L11" s="55" t="n">
        <f aca="false">G11</f>
        <v>2574931.71298936</v>
      </c>
      <c r="M11" s="55" t="n">
        <f aca="false">K11</f>
        <v>2820398.08267033</v>
      </c>
      <c r="N11" s="19"/>
    </row>
    <row r="12" customFormat="false" ht="15" hidden="false" customHeight="false" outlineLevel="0" collapsed="false">
      <c r="B12" s="13" t="s">
        <v>394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customFormat="false" ht="15" hidden="false" customHeight="false" outlineLevel="0" collapsed="false">
      <c r="B13" s="15" t="s">
        <v>395</v>
      </c>
      <c r="C13" s="47" t="n">
        <f aca="false">C6*0.075</f>
        <v>134596.875</v>
      </c>
      <c r="D13" s="47" t="n">
        <f aca="false">D6*0.075</f>
        <v>138123.313125</v>
      </c>
      <c r="E13" s="47" t="n">
        <f aca="false">E6*0.075</f>
        <v>141521.146627875</v>
      </c>
      <c r="F13" s="47" t="n">
        <f aca="false">F6*0.075</f>
        <v>144804.437229642</v>
      </c>
      <c r="G13" s="47" t="n">
        <f aca="false">G6*0.075</f>
        <v>148134.939285923</v>
      </c>
      <c r="H13" s="47" t="n">
        <f aca="false">H6*0.075</f>
        <v>151601.296865214</v>
      </c>
      <c r="I13" s="47" t="n">
        <f aca="false">I6*0.075</f>
        <v>155391.329286844</v>
      </c>
      <c r="J13" s="47" t="n">
        <f aca="false">J6*0.075</f>
        <v>159524.738645874</v>
      </c>
      <c r="K13" s="47" t="n">
        <f aca="false">K6*0.075</f>
        <v>163927.621432501</v>
      </c>
      <c r="L13" s="47" t="n">
        <f aca="false">G13</f>
        <v>148134.939285923</v>
      </c>
      <c r="M13" s="47" t="n">
        <f aca="false">K13</f>
        <v>163927.621432501</v>
      </c>
      <c r="N13" s="36" t="s">
        <v>396</v>
      </c>
    </row>
    <row r="14" customFormat="false" ht="15" hidden="false" customHeight="false" outlineLevel="0" collapsed="false">
      <c r="B14" s="15" t="s">
        <v>397</v>
      </c>
      <c r="C14" s="47" t="n">
        <f aca="false">C11-C13-C15-C16-C17</f>
        <v>530041.125</v>
      </c>
      <c r="D14" s="47" t="n">
        <f aca="false">D11-D13-D15-D16-D17</f>
        <v>557662.574796207</v>
      </c>
      <c r="E14" s="47" t="n">
        <f aca="false">E11-E13-E15-E16-E17</f>
        <v>580352.676312669</v>
      </c>
      <c r="F14" s="47" t="n">
        <f aca="false">F11-F13-F15-F16-F17</f>
        <v>614340.534007337</v>
      </c>
      <c r="G14" s="47" t="n">
        <f aca="false">G11-G13-G15-G16-G17</f>
        <v>644407.73714173</v>
      </c>
      <c r="H14" s="47" t="n">
        <f aca="false">H11-H13-H15-H16-H17</f>
        <v>672290.750957369</v>
      </c>
      <c r="I14" s="47" t="n">
        <f aca="false">I11-I13-I15-I16-I17</f>
        <v>694277.028417305</v>
      </c>
      <c r="J14" s="47" t="n">
        <f aca="false">J11-J13-J15-J16-J17</f>
        <v>723783.881369709</v>
      </c>
      <c r="K14" s="47" t="n">
        <f aca="false">K11-K13-K15-K16-K17</f>
        <v>753260.091648316</v>
      </c>
      <c r="L14" s="47" t="n">
        <f aca="false">G14</f>
        <v>644407.73714173</v>
      </c>
      <c r="M14" s="47" t="n">
        <f aca="false">K14</f>
        <v>753260.091648316</v>
      </c>
      <c r="N14" s="19"/>
    </row>
    <row r="15" customFormat="false" ht="15" hidden="false" customHeight="false" outlineLevel="0" collapsed="false">
      <c r="B15" s="15" t="s">
        <v>68</v>
      </c>
      <c r="C15" s="47" t="n">
        <f aca="false">Loan_Book!C11</f>
        <v>1553893</v>
      </c>
      <c r="D15" s="47" t="n">
        <f aca="false">Loan_Book!D11</f>
        <v>1580371.33672</v>
      </c>
      <c r="E15" s="47" t="n">
        <f aca="false">Loan_Book!E11</f>
        <v>1599502.15254522</v>
      </c>
      <c r="F15" s="47" t="n">
        <f aca="false">Loan_Book!F11</f>
        <v>1612460.83948938</v>
      </c>
      <c r="G15" s="47" t="n">
        <f aca="false">Loan_Book!G11</f>
        <v>1628089.0365617</v>
      </c>
      <c r="H15" s="47" t="n">
        <f aca="false">Loan_Book!H11</f>
        <v>1649746.0095425</v>
      </c>
      <c r="I15" s="47" t="n">
        <f aca="false">Loan_Book!I11</f>
        <v>1676858.93387519</v>
      </c>
      <c r="J15" s="47" t="n">
        <f aca="false">Loan_Book!J11</f>
        <v>1710230.97657797</v>
      </c>
      <c r="K15" s="47" t="n">
        <f aca="false">Loan_Book!K11</f>
        <v>1748610.36958952</v>
      </c>
      <c r="L15" s="47" t="n">
        <f aca="false">G15</f>
        <v>1628089.0365617</v>
      </c>
      <c r="M15" s="47" t="n">
        <f aca="false">K15</f>
        <v>1748610.36958952</v>
      </c>
      <c r="N15" s="19"/>
    </row>
    <row r="16" customFormat="false" ht="15" hidden="false" customHeight="false" outlineLevel="0" collapsed="false">
      <c r="B16" s="15" t="s">
        <v>398</v>
      </c>
      <c r="C16" s="51" t="n">
        <v>14000</v>
      </c>
      <c r="D16" s="47" t="n">
        <f aca="false">C16+75</f>
        <v>14075</v>
      </c>
      <c r="E16" s="47" t="n">
        <f aca="false">D16+75</f>
        <v>14150</v>
      </c>
      <c r="F16" s="47" t="n">
        <f aca="false">E16+75</f>
        <v>14225</v>
      </c>
      <c r="G16" s="47" t="n">
        <f aca="false">F16+75</f>
        <v>14300</v>
      </c>
      <c r="H16" s="47" t="n">
        <f aca="false">G16+75</f>
        <v>14375</v>
      </c>
      <c r="I16" s="47" t="n">
        <f aca="false">H16+75</f>
        <v>14450</v>
      </c>
      <c r="J16" s="47" t="n">
        <f aca="false">I16+75</f>
        <v>14525</v>
      </c>
      <c r="K16" s="47" t="n">
        <f aca="false">J16+75</f>
        <v>14600</v>
      </c>
      <c r="L16" s="47" t="n">
        <f aca="false">G16</f>
        <v>14300</v>
      </c>
      <c r="M16" s="47" t="n">
        <f aca="false">K16</f>
        <v>14600</v>
      </c>
      <c r="N16" s="36" t="s">
        <v>399</v>
      </c>
    </row>
    <row r="17" customFormat="false" ht="15" hidden="false" customHeight="false" outlineLevel="0" collapsed="false">
      <c r="B17" s="15" t="s">
        <v>400</v>
      </c>
      <c r="C17" s="51" t="n">
        <v>140000</v>
      </c>
      <c r="D17" s="47" t="n">
        <f aca="false">C17</f>
        <v>140000</v>
      </c>
      <c r="E17" s="47" t="n">
        <f aca="false">D17</f>
        <v>140000</v>
      </c>
      <c r="F17" s="47" t="n">
        <f aca="false">E17</f>
        <v>140000</v>
      </c>
      <c r="G17" s="47" t="n">
        <f aca="false">F17</f>
        <v>140000</v>
      </c>
      <c r="H17" s="47" t="n">
        <f aca="false">G17</f>
        <v>140000</v>
      </c>
      <c r="I17" s="47" t="n">
        <f aca="false">H17</f>
        <v>140000</v>
      </c>
      <c r="J17" s="47" t="n">
        <f aca="false">I17</f>
        <v>140000</v>
      </c>
      <c r="K17" s="47" t="n">
        <f aca="false">J17</f>
        <v>140000</v>
      </c>
      <c r="L17" s="47" t="n">
        <f aca="false">G17</f>
        <v>140000</v>
      </c>
      <c r="M17" s="47" t="n">
        <f aca="false">K17</f>
        <v>140000</v>
      </c>
      <c r="N17" s="36" t="s">
        <v>166</v>
      </c>
    </row>
    <row r="18" customFormat="false" ht="15" hidden="false" customHeight="false" outlineLevel="0" collapsed="false">
      <c r="B18" s="54" t="s">
        <v>401</v>
      </c>
      <c r="C18" s="55" t="n">
        <f aca="false">SUM(C13:C17)</f>
        <v>2372531</v>
      </c>
      <c r="D18" s="55" t="n">
        <f aca="false">SUM(D13:D17)</f>
        <v>2430232.22464121</v>
      </c>
      <c r="E18" s="55" t="n">
        <f aca="false">SUM(E13:E17)</f>
        <v>2475525.97548576</v>
      </c>
      <c r="F18" s="55" t="n">
        <f aca="false">SUM(F13:F17)</f>
        <v>2525830.81072636</v>
      </c>
      <c r="G18" s="55" t="n">
        <f aca="false">SUM(G13:G17)</f>
        <v>2574931.71298936</v>
      </c>
      <c r="H18" s="55" t="n">
        <f aca="false">SUM(H13:H17)</f>
        <v>2628013.05736508</v>
      </c>
      <c r="I18" s="55" t="n">
        <f aca="false">SUM(I13:I17)</f>
        <v>2680977.29157934</v>
      </c>
      <c r="J18" s="55" t="n">
        <f aca="false">SUM(J13:J17)</f>
        <v>2748064.59659355</v>
      </c>
      <c r="K18" s="55" t="n">
        <f aca="false">SUM(K13:K17)</f>
        <v>2820398.08267033</v>
      </c>
      <c r="L18" s="55" t="n">
        <f aca="false">G18</f>
        <v>2574931.71298936</v>
      </c>
      <c r="M18" s="55" t="n">
        <f aca="false">K18</f>
        <v>2820398.08267033</v>
      </c>
      <c r="N18" s="19"/>
    </row>
    <row r="19" customFormat="false" ht="15" hidden="false" customHeight="false" outlineLevel="0" collapsed="false">
      <c r="B19" s="15" t="s">
        <v>402</v>
      </c>
      <c r="C19" s="47" t="n">
        <f aca="false">ROUND(C18-C11,2)</f>
        <v>0</v>
      </c>
      <c r="D19" s="47" t="n">
        <f aca="false">ROUND(D18-D11,2)</f>
        <v>0</v>
      </c>
      <c r="E19" s="47" t="n">
        <f aca="false">ROUND(E18-E11,2)</f>
        <v>0</v>
      </c>
      <c r="F19" s="47" t="n">
        <f aca="false">ROUND(F18-F11,2)</f>
        <v>0</v>
      </c>
      <c r="G19" s="47" t="n">
        <f aca="false">ROUND(G18-G11,2)</f>
        <v>0</v>
      </c>
      <c r="H19" s="47" t="n">
        <f aca="false">ROUND(H18-H11,2)</f>
        <v>0</v>
      </c>
      <c r="I19" s="47" t="n">
        <f aca="false">ROUND(I18-I11,2)</f>
        <v>0</v>
      </c>
      <c r="J19" s="47" t="n">
        <f aca="false">ROUND(J18-J11,2)</f>
        <v>0</v>
      </c>
      <c r="K19" s="47" t="n">
        <f aca="false">ROUND(K18-K11,2)</f>
        <v>0</v>
      </c>
      <c r="L19" s="47" t="n">
        <f aca="false">G19</f>
        <v>0</v>
      </c>
      <c r="M19" s="47" t="n">
        <f aca="false">K19</f>
        <v>0</v>
      </c>
      <c r="N19" s="19"/>
    </row>
    <row r="20" customFormat="false" ht="15" hidden="false" customHeight="false" outlineLevel="0" collapsed="false">
      <c r="B20" s="13" t="s">
        <v>403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customFormat="false" ht="15" hidden="false" customHeight="false" outlineLevel="0" collapsed="false">
      <c r="B21" s="15" t="s">
        <v>404</v>
      </c>
      <c r="C21" s="35" t="n">
        <f aca="false">C14/C6</f>
        <v>0.295349237305844</v>
      </c>
      <c r="D21" s="35" t="n">
        <f aca="false">D14/D6</f>
        <v>0.302806906114862</v>
      </c>
      <c r="E21" s="35" t="n">
        <f aca="false">E14/E6</f>
        <v>0.307561461736185</v>
      </c>
      <c r="F21" s="35" t="n">
        <f aca="false">F14/F6</f>
        <v>0.318191492830294</v>
      </c>
      <c r="G21" s="35" t="n">
        <f aca="false">G14/G6</f>
        <v>0.326260506256017</v>
      </c>
      <c r="H21" s="35" t="n">
        <f aca="false">H14/H6</f>
        <v>0.332594821841345</v>
      </c>
      <c r="I21" s="35" t="n">
        <f aca="false">I14/I6</f>
        <v>0.335094482879272</v>
      </c>
      <c r="J21" s="35" t="n">
        <f aca="false">J14/J6</f>
        <v>0.34028446975382</v>
      </c>
      <c r="K21" s="35" t="n">
        <f aca="false">K14/K6</f>
        <v>0.344630797299076</v>
      </c>
      <c r="L21" s="35" t="n">
        <f aca="false">G21</f>
        <v>0.326260506256017</v>
      </c>
      <c r="M21" s="35" t="n">
        <f aca="false">K21</f>
        <v>0.344630797299076</v>
      </c>
      <c r="N21" s="19"/>
    </row>
    <row r="22" customFormat="false" ht="15" hidden="false" customHeight="false" outlineLevel="0" collapsed="false">
      <c r="B22" s="15" t="s">
        <v>405</v>
      </c>
      <c r="C22" s="35" t="n">
        <f aca="false">(C13+C14)/C18</f>
        <v>0.280138805351753</v>
      </c>
      <c r="D22" s="35" t="n">
        <f aca="false">(D13+D14)/D18</f>
        <v>0.286304280252037</v>
      </c>
      <c r="E22" s="35" t="n">
        <f aca="false">(E13+E14)/E18</f>
        <v>0.291604220714708</v>
      </c>
      <c r="F22" s="35" t="n">
        <f aca="false">(F13+F14)/F18</f>
        <v>0.300552581753752</v>
      </c>
      <c r="G22" s="35" t="n">
        <f aca="false">(G13+G14)/G18</f>
        <v>0.307791726060011</v>
      </c>
      <c r="H22" s="35" t="n">
        <f aca="false">(H13+H14)/H18</f>
        <v>0.313503787781268</v>
      </c>
      <c r="I22" s="35" t="n">
        <f aca="false">(I13+I14)/I18</f>
        <v>0.316924861830373</v>
      </c>
      <c r="J22" s="35" t="n">
        <f aca="false">(J13+J14)/J18</f>
        <v>0.3214293510824</v>
      </c>
      <c r="K22" s="35" t="n">
        <f aca="false">(K13+K14)/K18</f>
        <v>0.325197963619529</v>
      </c>
      <c r="L22" s="35" t="n">
        <f aca="false">G22</f>
        <v>0.307791726060011</v>
      </c>
      <c r="M22" s="35" t="n">
        <f aca="false">K22</f>
        <v>0.325197963619529</v>
      </c>
      <c r="N22" s="19"/>
    </row>
    <row r="23" customFormat="false" ht="15" hidden="false" customHeight="false" outlineLevel="0" collapsed="false">
      <c r="B23" s="15" t="s">
        <v>406</v>
      </c>
      <c r="C23" s="37" t="n">
        <v>0.066</v>
      </c>
      <c r="D23" s="39" t="n">
        <f aca="false">$C23+Market!$C$22*Market!D8</f>
        <v>0.066</v>
      </c>
      <c r="E23" s="39" t="n">
        <f aca="false">$C23+Market!$C$22*Market!E8</f>
        <v>0.065125</v>
      </c>
      <c r="F23" s="39" t="n">
        <f aca="false">$C23+Market!$C$22*Market!F8</f>
        <v>0.06425</v>
      </c>
      <c r="G23" s="39" t="n">
        <f aca="false">$C23+Market!$C$22*Market!G8</f>
        <v>0.063375</v>
      </c>
      <c r="H23" s="39" t="n">
        <f aca="false">$C23+Market!$C$22*Market!H8</f>
        <v>0.063375</v>
      </c>
      <c r="I23" s="39" t="n">
        <f aca="false">$C23+Market!$C$22*Market!I8</f>
        <v>0.063375</v>
      </c>
      <c r="J23" s="39" t="n">
        <f aca="false">$C23+Market!$C$22*Market!J8</f>
        <v>0.063375</v>
      </c>
      <c r="K23" s="39" t="n">
        <f aca="false">$C23+Market!$C$22*Market!K8</f>
        <v>0.06425</v>
      </c>
      <c r="L23" s="39" t="n">
        <f aca="false">AVERAGE(D23:G23)</f>
        <v>0.0646875</v>
      </c>
      <c r="M23" s="39" t="n">
        <f aca="false">AVERAGE(H23:K23)</f>
        <v>0.06359375</v>
      </c>
      <c r="N23" s="36" t="s">
        <v>166</v>
      </c>
    </row>
    <row r="24" customFormat="false" ht="15" hidden="false" customHeight="false" outlineLevel="0" collapsed="false">
      <c r="B24" s="15" t="s">
        <v>407</v>
      </c>
      <c r="C24" s="47"/>
      <c r="D24" s="47" t="n">
        <f aca="false">AVERAGE(C14,D14)</f>
        <v>543851.849898104</v>
      </c>
      <c r="E24" s="47" t="n">
        <f aca="false">AVERAGE(D14,E14)</f>
        <v>569007.625554438</v>
      </c>
      <c r="F24" s="47" t="n">
        <f aca="false">AVERAGE(E14,F14)</f>
        <v>597346.605160003</v>
      </c>
      <c r="G24" s="47" t="n">
        <f aca="false">AVERAGE(F14,G14)</f>
        <v>629374.135574534</v>
      </c>
      <c r="H24" s="47" t="n">
        <f aca="false">AVERAGE(G14,H14)</f>
        <v>658349.24404955</v>
      </c>
      <c r="I24" s="47" t="n">
        <f aca="false">AVERAGE(H14,I14)</f>
        <v>683283.889687337</v>
      </c>
      <c r="J24" s="47" t="n">
        <f aca="false">AVERAGE(I14,J14)</f>
        <v>709030.454893507</v>
      </c>
      <c r="K24" s="47" t="n">
        <f aca="false">AVERAGE(J14,K14)</f>
        <v>738521.986509012</v>
      </c>
      <c r="L24" s="47" t="n">
        <f aca="false">AVERAGE(D24:G24)</f>
        <v>584895.05404677</v>
      </c>
      <c r="M24" s="47" t="n">
        <f aca="false">AVERAGE(H24:K24)</f>
        <v>697296.393784851</v>
      </c>
      <c r="N2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408</v>
      </c>
    </row>
    <row r="2" customFormat="false" ht="15" hidden="false" customHeight="false" outlineLevel="0" collapsed="false">
      <c r="A2" s="10" t="s">
        <v>409</v>
      </c>
    </row>
    <row r="4" customFormat="false" ht="27.75" hidden="false" customHeight="true" outlineLevel="0" collapsed="false">
      <c r="B4" s="31" t="s">
        <v>128</v>
      </c>
      <c r="C4" s="32" t="s">
        <v>261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36</v>
      </c>
      <c r="M4" s="32" t="s">
        <v>37</v>
      </c>
      <c r="N4" s="32" t="s">
        <v>138</v>
      </c>
    </row>
    <row r="5" customFormat="false" ht="15" hidden="false" customHeight="false" outlineLevel="0" collapsed="false">
      <c r="B5" s="13" t="s">
        <v>410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15" hidden="false" customHeight="false" outlineLevel="0" collapsed="false">
      <c r="B6" s="15" t="s">
        <v>411</v>
      </c>
      <c r="C6" s="33" t="n">
        <v>0.6</v>
      </c>
      <c r="D6" s="47" t="n">
        <f aca="false">Loan_Book!D6*$C6</f>
        <v>365177.286144</v>
      </c>
      <c r="E6" s="47" t="n">
        <f aca="false">Loan_Book!E6*$C6</f>
        <v>371750.477294592</v>
      </c>
      <c r="F6" s="47" t="n">
        <f aca="false">Loan_Book!F6*$C6</f>
        <v>377326.734454011</v>
      </c>
      <c r="G6" s="47" t="n">
        <f aca="false">Loan_Book!G6*$C6</f>
        <v>382986.635470821</v>
      </c>
      <c r="H6" s="47" t="n">
        <f aca="false">Loan_Book!H6*$C6</f>
        <v>389880.394909296</v>
      </c>
      <c r="I6" s="47" t="n">
        <f aca="false">Loan_Book!I6*$C6</f>
        <v>397678.002807482</v>
      </c>
      <c r="J6" s="47" t="n">
        <f aca="false">Loan_Book!J6*$C6</f>
        <v>406824.596872054</v>
      </c>
      <c r="K6" s="47" t="n">
        <f aca="false">Loan_Book!K6*$C6</f>
        <v>416995.211793855</v>
      </c>
      <c r="L6" s="47" t="n">
        <f aca="false">G6</f>
        <v>382986.635470821</v>
      </c>
      <c r="M6" s="47" t="n">
        <f aca="false">K6</f>
        <v>416995.211793855</v>
      </c>
      <c r="N6" s="36" t="s">
        <v>412</v>
      </c>
    </row>
    <row r="7" customFormat="false" ht="15" hidden="false" customHeight="false" outlineLevel="0" collapsed="false">
      <c r="B7" s="15" t="s">
        <v>413</v>
      </c>
      <c r="C7" s="33" t="n">
        <v>1.25</v>
      </c>
      <c r="D7" s="47" t="n">
        <f aca="false">Loan_Book!D7*$C7</f>
        <v>230753.1105</v>
      </c>
      <c r="E7" s="47" t="n">
        <f aca="false">Loan_Book!E7*$C7</f>
        <v>224984.2827375</v>
      </c>
      <c r="F7" s="47" t="n">
        <f aca="false">Loan_Book!F7*$C7</f>
        <v>218234.754255375</v>
      </c>
      <c r="G7" s="47" t="n">
        <f aca="false">Loan_Book!G7*$C7</f>
        <v>213870.059170268</v>
      </c>
      <c r="H7" s="47" t="n">
        <f aca="false">Loan_Book!H7*$C7</f>
        <v>211731.358578565</v>
      </c>
      <c r="I7" s="47" t="n">
        <f aca="false">Loan_Book!I7*$C7</f>
        <v>211731.358578565</v>
      </c>
      <c r="J7" s="47" t="n">
        <f aca="false">Loan_Book!J7*$C7</f>
        <v>213848.67216435</v>
      </c>
      <c r="K7" s="47" t="n">
        <f aca="false">Loan_Book!K7*$C7</f>
        <v>217056.402246816</v>
      </c>
      <c r="L7" s="47" t="n">
        <f aca="false">G7</f>
        <v>213870.059170268</v>
      </c>
      <c r="M7" s="47" t="n">
        <f aca="false">K7</f>
        <v>217056.402246816</v>
      </c>
      <c r="N7" s="36" t="s">
        <v>414</v>
      </c>
    </row>
    <row r="8" customFormat="false" ht="15" hidden="false" customHeight="false" outlineLevel="0" collapsed="false">
      <c r="B8" s="15" t="s">
        <v>415</v>
      </c>
      <c r="C8" s="33" t="n">
        <v>0.85</v>
      </c>
      <c r="D8" s="47" t="n">
        <f aca="false">Loan_Book!D8*$C8</f>
        <v>261361.694814</v>
      </c>
      <c r="E8" s="47" t="n">
        <f aca="false">Loan_Book!E8*$C8</f>
        <v>263975.31176214</v>
      </c>
      <c r="F8" s="47" t="n">
        <f aca="false">Loan_Book!F8*$C8</f>
        <v>265295.188320951</v>
      </c>
      <c r="G8" s="47" t="n">
        <f aca="false">Loan_Book!G8*$C8</f>
        <v>266621.664262555</v>
      </c>
      <c r="H8" s="47" t="n">
        <f aca="false">Loan_Book!H8*$C8</f>
        <v>269287.880905181</v>
      </c>
      <c r="I8" s="47" t="n">
        <f aca="false">Loan_Book!I8*$C8</f>
        <v>273327.199118759</v>
      </c>
      <c r="J8" s="47" t="n">
        <f aca="false">Loan_Book!J8*$C8</f>
        <v>278793.743101134</v>
      </c>
      <c r="K8" s="47" t="n">
        <f aca="false">Loan_Book!K8*$C8</f>
        <v>285763.586678662</v>
      </c>
      <c r="L8" s="47" t="n">
        <f aca="false">G8</f>
        <v>266621.664262555</v>
      </c>
      <c r="M8" s="47" t="n">
        <f aca="false">K8</f>
        <v>285763.586678662</v>
      </c>
      <c r="N8" s="36" t="s">
        <v>416</v>
      </c>
    </row>
    <row r="9" customFormat="false" ht="15" hidden="false" customHeight="false" outlineLevel="0" collapsed="false">
      <c r="B9" s="15" t="s">
        <v>417</v>
      </c>
      <c r="C9" s="33" t="n">
        <v>0.9</v>
      </c>
      <c r="D9" s="47" t="n">
        <f aca="false">Loan_Book!D9*$C9</f>
        <v>81924.346746</v>
      </c>
      <c r="E9" s="47" t="n">
        <f aca="false">Loan_Book!E9*$C9</f>
        <v>81924.346746</v>
      </c>
      <c r="F9" s="47" t="n">
        <f aca="false">Loan_Book!F9*$C9</f>
        <v>81514.72501227</v>
      </c>
      <c r="G9" s="47" t="n">
        <f aca="false">Loan_Book!G9*$C9</f>
        <v>81514.72501227</v>
      </c>
      <c r="H9" s="47" t="n">
        <f aca="false">Loan_Book!H9*$C9</f>
        <v>81922.2986373314</v>
      </c>
      <c r="I9" s="47" t="n">
        <f aca="false">Loan_Book!I9*$C9</f>
        <v>82741.5216237047</v>
      </c>
      <c r="J9" s="47" t="n">
        <f aca="false">Loan_Book!J9*$C9</f>
        <v>83982.6444480602</v>
      </c>
      <c r="K9" s="47" t="n">
        <f aca="false">Loan_Book!K9*$C9</f>
        <v>85662.2973370214</v>
      </c>
      <c r="L9" s="47" t="n">
        <f aca="false">G9</f>
        <v>81514.72501227</v>
      </c>
      <c r="M9" s="47" t="n">
        <f aca="false">K9</f>
        <v>85662.2973370214</v>
      </c>
      <c r="N9" s="36" t="s">
        <v>418</v>
      </c>
    </row>
    <row r="10" customFormat="false" ht="15" hidden="false" customHeight="false" outlineLevel="0" collapsed="false">
      <c r="B10" s="15" t="s">
        <v>419</v>
      </c>
      <c r="C10" s="33" t="n">
        <v>0.7</v>
      </c>
      <c r="D10" s="47" t="n">
        <f aca="false">Loan_Book!D10*$C10</f>
        <v>272040.04751</v>
      </c>
      <c r="E10" s="47" t="n">
        <f aca="false">Loan_Book!E10*$C10</f>
        <v>278841.04869775</v>
      </c>
      <c r="F10" s="47" t="n">
        <f aca="false">Loan_Book!F10*$C10</f>
        <v>284417.869671705</v>
      </c>
      <c r="G10" s="47" t="n">
        <f aca="false">Loan_Book!G10*$C10</f>
        <v>290106.227065139</v>
      </c>
      <c r="H10" s="47" t="n">
        <f aca="false">Loan_Book!H10*$C10</f>
        <v>295908.351606442</v>
      </c>
      <c r="I10" s="47" t="n">
        <f aca="false">Loan_Book!I10*$C10</f>
        <v>301826.518638571</v>
      </c>
      <c r="J10" s="47" t="n">
        <f aca="false">Loan_Book!J10*$C10</f>
        <v>307863.049011342</v>
      </c>
      <c r="K10" s="47" t="n">
        <f aca="false">Loan_Book!K10*$C10</f>
        <v>314020.309991569</v>
      </c>
      <c r="L10" s="47" t="n">
        <f aca="false">G10</f>
        <v>290106.227065139</v>
      </c>
      <c r="M10" s="47" t="n">
        <f aca="false">K10</f>
        <v>314020.309991569</v>
      </c>
      <c r="N10" s="36" t="s">
        <v>420</v>
      </c>
    </row>
    <row r="11" customFormat="false" ht="15" hidden="false" customHeight="false" outlineLevel="0" collapsed="false">
      <c r="B11" s="15" t="s">
        <v>421</v>
      </c>
      <c r="C11" s="47" t="n">
        <f aca="false">Balance_Sheet!C14*0.15+Balance_Sheet!C16+Balance_Sheet!C17</f>
        <v>233506.16875</v>
      </c>
      <c r="D11" s="47" t="n">
        <f aca="false">Balance_Sheet!D14*0.15+Balance_Sheet!D16+Balance_Sheet!D17</f>
        <v>237724.386219431</v>
      </c>
      <c r="E11" s="47" t="n">
        <f aca="false">Balance_Sheet!E14*0.15+Balance_Sheet!E16+Balance_Sheet!E17</f>
        <v>241202.9014469</v>
      </c>
      <c r="F11" s="47" t="n">
        <f aca="false">Balance_Sheet!F14*0.15+Balance_Sheet!F16+Balance_Sheet!F17</f>
        <v>246376.080101101</v>
      </c>
      <c r="G11" s="47" t="n">
        <f aca="false">Balance_Sheet!G14*0.15+Balance_Sheet!G16+Balance_Sheet!G17</f>
        <v>250961.16057126</v>
      </c>
      <c r="H11" s="47" t="n">
        <f aca="false">Balance_Sheet!H14*0.15+Balance_Sheet!H16+Balance_Sheet!H17</f>
        <v>255218.612643605</v>
      </c>
      <c r="I11" s="47" t="n">
        <f aca="false">Balance_Sheet!I14*0.15+Balance_Sheet!I16+Balance_Sheet!I17</f>
        <v>258591.554262596</v>
      </c>
      <c r="J11" s="47" t="n">
        <f aca="false">Balance_Sheet!J14*0.15+Balance_Sheet!J16+Balance_Sheet!J17</f>
        <v>263092.582205456</v>
      </c>
      <c r="K11" s="47" t="n">
        <f aca="false">Balance_Sheet!K14*0.15+Balance_Sheet!K16+Balance_Sheet!K17</f>
        <v>267589.013747247</v>
      </c>
      <c r="L11" s="47" t="n">
        <f aca="false">G11</f>
        <v>250961.16057126</v>
      </c>
      <c r="M11" s="47" t="n">
        <f aca="false">K11</f>
        <v>267589.013747247</v>
      </c>
      <c r="N11" s="19"/>
    </row>
    <row r="12" customFormat="false" ht="15" hidden="false" customHeight="false" outlineLevel="0" collapsed="false">
      <c r="B12" s="15" t="s">
        <v>422</v>
      </c>
      <c r="C12" s="47" t="n">
        <f aca="false">SUMPRODUCT(Loan_Book!C6:C10,C6:C10)+C11</f>
        <v>1427362.16065</v>
      </c>
      <c r="D12" s="47" t="n">
        <f aca="false">SUM(D6:D11)</f>
        <v>1448980.87193343</v>
      </c>
      <c r="E12" s="47" t="n">
        <f aca="false">SUM(E6:E11)</f>
        <v>1462678.36868488</v>
      </c>
      <c r="F12" s="47" t="n">
        <f aca="false">SUM(F6:F11)</f>
        <v>1473165.35181541</v>
      </c>
      <c r="G12" s="47" t="n">
        <f aca="false">SUM(G6:G11)</f>
        <v>1486060.47155231</v>
      </c>
      <c r="H12" s="47" t="n">
        <f aca="false">SUM(H6:H11)</f>
        <v>1503948.89728042</v>
      </c>
      <c r="I12" s="47" t="n">
        <f aca="false">SUM(I6:I11)</f>
        <v>1525896.15502968</v>
      </c>
      <c r="J12" s="47" t="n">
        <f aca="false">SUM(J6:J11)</f>
        <v>1554405.2878024</v>
      </c>
      <c r="K12" s="47" t="n">
        <f aca="false">SUM(K6:K11)</f>
        <v>1587086.82179517</v>
      </c>
      <c r="L12" s="47" t="n">
        <f aca="false">G12</f>
        <v>1486060.47155231</v>
      </c>
      <c r="M12" s="47" t="n">
        <f aca="false">K12</f>
        <v>1587086.82179517</v>
      </c>
      <c r="N12" s="19"/>
    </row>
    <row r="13" customFormat="false" ht="15" hidden="false" customHeight="false" outlineLevel="0" collapsed="false">
      <c r="B13" s="15" t="s">
        <v>423</v>
      </c>
      <c r="C13" s="35" t="n">
        <f aca="false">(C16/Baseline!D23-C12)/C12</f>
        <v>0.464308020030051</v>
      </c>
      <c r="D13" s="47" t="n">
        <f aca="false">D12*$C13</f>
        <v>672773.439708828</v>
      </c>
      <c r="E13" s="47" t="n">
        <f aca="false">E12*$C13</f>
        <v>679133.297304863</v>
      </c>
      <c r="F13" s="47" t="n">
        <f aca="false">F12*$C13</f>
        <v>684002.487678288</v>
      </c>
      <c r="G13" s="47" t="n">
        <f aca="false">G12*$C13</f>
        <v>689989.795191378</v>
      </c>
      <c r="H13" s="47" t="n">
        <f aca="false">H12*$C13</f>
        <v>698295.53472265</v>
      </c>
      <c r="I13" s="47" t="n">
        <f aca="false">I12*$C13</f>
        <v>708485.822513297</v>
      </c>
      <c r="J13" s="47" t="n">
        <f aca="false">J12*$C13</f>
        <v>721722.841503772</v>
      </c>
      <c r="K13" s="47" t="n">
        <f aca="false">K12*$C13</f>
        <v>736897.139843502</v>
      </c>
      <c r="L13" s="47" t="n">
        <f aca="false">G13</f>
        <v>689989.795191378</v>
      </c>
      <c r="M13" s="47" t="n">
        <f aca="false">K13</f>
        <v>736897.139843502</v>
      </c>
      <c r="N13" s="36" t="s">
        <v>424</v>
      </c>
    </row>
    <row r="14" customFormat="false" ht="15" hidden="false" customHeight="false" outlineLevel="0" collapsed="false">
      <c r="B14" s="54" t="s">
        <v>425</v>
      </c>
      <c r="C14" s="55" t="n">
        <f aca="false">C12*(1+C13)</f>
        <v>2090097.85932722</v>
      </c>
      <c r="D14" s="55" t="n">
        <f aca="false">D12+D13</f>
        <v>2121754.31164226</v>
      </c>
      <c r="E14" s="55" t="n">
        <f aca="false">E12+E13</f>
        <v>2141811.66598975</v>
      </c>
      <c r="F14" s="55" t="n">
        <f aca="false">F12+F13</f>
        <v>2157167.8394937</v>
      </c>
      <c r="G14" s="55" t="n">
        <f aca="false">G12+G13</f>
        <v>2176050.26674369</v>
      </c>
      <c r="H14" s="55" t="n">
        <f aca="false">H12+H13</f>
        <v>2202244.43200307</v>
      </c>
      <c r="I14" s="55" t="n">
        <f aca="false">I12+I13</f>
        <v>2234381.97754297</v>
      </c>
      <c r="J14" s="55" t="n">
        <f aca="false">J12+J13</f>
        <v>2276128.12930617</v>
      </c>
      <c r="K14" s="55" t="n">
        <f aca="false">K12+K13</f>
        <v>2323983.96163867</v>
      </c>
      <c r="L14" s="55" t="n">
        <f aca="false">G14</f>
        <v>2176050.26674369</v>
      </c>
      <c r="M14" s="55" t="n">
        <f aca="false">K14</f>
        <v>2323983.96163867</v>
      </c>
      <c r="N14" s="19"/>
    </row>
    <row r="15" customFormat="false" ht="15" hidden="false" customHeight="false" outlineLevel="0" collapsed="false">
      <c r="B15" s="13" t="s">
        <v>218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customFormat="false" ht="15" hidden="false" customHeight="false" outlineLevel="0" collapsed="false">
      <c r="B16" s="15" t="s">
        <v>426</v>
      </c>
      <c r="C16" s="47" t="n">
        <f aca="false">Balance_Sheet!C10*0.97</f>
        <v>341731</v>
      </c>
      <c r="D16" s="47" t="n">
        <f aca="false">Balance_Sheet!D10*0.97</f>
        <v>351122.588151971</v>
      </c>
      <c r="E16" s="47" t="n">
        <f aca="false">Balance_Sheet!E10*0.97</f>
        <v>350627.213167341</v>
      </c>
      <c r="F16" s="47" t="n">
        <f aca="false">Balance_Sheet!F10*0.97</f>
        <v>358414.011567865</v>
      </c>
      <c r="G16" s="47" t="n">
        <f aca="false">Balance_Sheet!G10*0.97</f>
        <v>365877.393501733</v>
      </c>
      <c r="H16" s="47" t="n">
        <f aca="false">Balance_Sheet!H10*0.97</f>
        <v>374474.739520693</v>
      </c>
      <c r="I16" s="47" t="n">
        <f aca="false">Balance_Sheet!I10*0.97</f>
        <v>376832.294055436</v>
      </c>
      <c r="J16" s="47" t="n">
        <f aca="false">Balance_Sheet!J10*0.97</f>
        <v>387963.218875769</v>
      </c>
      <c r="K16" s="47" t="n">
        <f aca="false">Balance_Sheet!K10*0.97</f>
        <v>400212.749663216</v>
      </c>
      <c r="L16" s="47" t="n">
        <f aca="false">G16</f>
        <v>365877.393501733</v>
      </c>
      <c r="M16" s="47" t="n">
        <f aca="false">K16</f>
        <v>400212.749663216</v>
      </c>
      <c r="N16" s="19"/>
    </row>
    <row r="17" customFormat="false" ht="15" hidden="false" customHeight="false" outlineLevel="0" collapsed="false">
      <c r="B17" s="15" t="s">
        <v>427</v>
      </c>
      <c r="C17" s="47" t="n">
        <f aca="false">(Baseline!D22-Baseline!D23)*C14</f>
        <v>17347.8122324159</v>
      </c>
      <c r="D17" s="47" t="n">
        <f aca="false">C17</f>
        <v>17347.8122324159</v>
      </c>
      <c r="E17" s="47" t="n">
        <f aca="false">D17</f>
        <v>17347.8122324159</v>
      </c>
      <c r="F17" s="47" t="n">
        <f aca="false">E17</f>
        <v>17347.8122324159</v>
      </c>
      <c r="G17" s="47" t="n">
        <f aca="false">F17</f>
        <v>17347.8122324159</v>
      </c>
      <c r="H17" s="47" t="n">
        <f aca="false">G17</f>
        <v>17347.8122324159</v>
      </c>
      <c r="I17" s="47" t="n">
        <f aca="false">H17</f>
        <v>17347.8122324159</v>
      </c>
      <c r="J17" s="47" t="n">
        <f aca="false">I17</f>
        <v>17347.8122324159</v>
      </c>
      <c r="K17" s="47" t="n">
        <f aca="false">J17</f>
        <v>17347.8122324159</v>
      </c>
      <c r="L17" s="47" t="n">
        <f aca="false">G17</f>
        <v>17347.8122324159</v>
      </c>
      <c r="M17" s="47" t="n">
        <f aca="false">K17</f>
        <v>17347.8122324159</v>
      </c>
      <c r="N17" s="36" t="s">
        <v>428</v>
      </c>
    </row>
    <row r="18" customFormat="false" ht="15" hidden="false" customHeight="false" outlineLevel="0" collapsed="false">
      <c r="B18" s="54" t="s">
        <v>429</v>
      </c>
      <c r="C18" s="56" t="n">
        <f aca="false">C16/C14</f>
        <v>0.1635</v>
      </c>
      <c r="D18" s="56" t="n">
        <f aca="false">D16/D14</f>
        <v>0.165486920999915</v>
      </c>
      <c r="E18" s="56" t="n">
        <f aca="false">E16/E14</f>
        <v>0.163705903154334</v>
      </c>
      <c r="F18" s="56" t="n">
        <f aca="false">F16/F14</f>
        <v>0.166150266569887</v>
      </c>
      <c r="G18" s="56" t="n">
        <f aca="false">G16/G14</f>
        <v>0.168138300430552</v>
      </c>
      <c r="H18" s="56" t="n">
        <f aca="false">H16/H14</f>
        <v>0.170042314140436</v>
      </c>
      <c r="I18" s="56" t="n">
        <f aca="false">I16/I14</f>
        <v>0.168651688853048</v>
      </c>
      <c r="J18" s="56" t="n">
        <f aca="false">J16/J14</f>
        <v>0.170448760718067</v>
      </c>
      <c r="K18" s="56" t="n">
        <f aca="false">K16/K14</f>
        <v>0.172209772644481</v>
      </c>
      <c r="L18" s="56" t="n">
        <f aca="false">G18</f>
        <v>0.168138300430552</v>
      </c>
      <c r="M18" s="56" t="n">
        <f aca="false">K18</f>
        <v>0.172209772644481</v>
      </c>
      <c r="N18" s="19"/>
    </row>
    <row r="19" customFormat="false" ht="15" hidden="false" customHeight="false" outlineLevel="0" collapsed="false">
      <c r="B19" s="54" t="s">
        <v>430</v>
      </c>
      <c r="C19" s="56" t="n">
        <f aca="false">(C16+C17)/C14</f>
        <v>0.1718</v>
      </c>
      <c r="D19" s="56" t="n">
        <f aca="false">(D16+D17)/D14</f>
        <v>0.173663085477219</v>
      </c>
      <c r="E19" s="56" t="n">
        <f aca="false">(E16+E17)/E14</f>
        <v>0.171805500568937</v>
      </c>
      <c r="F19" s="56" t="n">
        <f aca="false">(F16+F17)/F14</f>
        <v>0.174192205595126</v>
      </c>
      <c r="G19" s="56" t="n">
        <f aca="false">(G16+G17)/G14</f>
        <v>0.176110456449896</v>
      </c>
      <c r="H19" s="56" t="n">
        <f aca="false">(H16+H17)/H14</f>
        <v>0.177919646910731</v>
      </c>
      <c r="I19" s="56" t="n">
        <f aca="false">(I16+I17)/I14</f>
        <v>0.176415720431701</v>
      </c>
      <c r="J19" s="56" t="n">
        <f aca="false">(J16+J17)/J14</f>
        <v>0.178070393265486</v>
      </c>
      <c r="K19" s="56" t="n">
        <f aca="false">(K16+K17)/K14</f>
        <v>0.179674459371572</v>
      </c>
      <c r="L19" s="56" t="n">
        <f aca="false">G19</f>
        <v>0.176110456449896</v>
      </c>
      <c r="M19" s="56" t="n">
        <f aca="false">K19</f>
        <v>0.179674459371572</v>
      </c>
      <c r="N19" s="19"/>
    </row>
    <row r="20" customFormat="false" ht="15" hidden="false" customHeight="false" outlineLevel="0" collapsed="false">
      <c r="B20" s="15" t="s">
        <v>431</v>
      </c>
      <c r="C20" s="37" t="n">
        <v>0.117</v>
      </c>
      <c r="D20" s="39" t="n">
        <f aca="false">$C20</f>
        <v>0.117</v>
      </c>
      <c r="E20" s="39" t="n">
        <f aca="false">$C20</f>
        <v>0.117</v>
      </c>
      <c r="F20" s="39" t="n">
        <f aca="false">$C20</f>
        <v>0.117</v>
      </c>
      <c r="G20" s="39" t="n">
        <f aca="false">$C20</f>
        <v>0.117</v>
      </c>
      <c r="H20" s="39" t="n">
        <f aca="false">$C20</f>
        <v>0.117</v>
      </c>
      <c r="I20" s="39" t="n">
        <f aca="false">$C20</f>
        <v>0.117</v>
      </c>
      <c r="J20" s="39" t="n">
        <f aca="false">$C20</f>
        <v>0.117</v>
      </c>
      <c r="K20" s="39" t="n">
        <f aca="false">$C20</f>
        <v>0.117</v>
      </c>
      <c r="L20" s="39" t="n">
        <f aca="false">G20</f>
        <v>0.117</v>
      </c>
      <c r="M20" s="39" t="n">
        <f aca="false">K20</f>
        <v>0.117</v>
      </c>
      <c r="N20" s="36" t="s">
        <v>432</v>
      </c>
    </row>
    <row r="21" customFormat="false" ht="15" hidden="false" customHeight="false" outlineLevel="0" collapsed="false">
      <c r="B21" s="15" t="s">
        <v>433</v>
      </c>
      <c r="C21" s="39" t="n">
        <f aca="false">C19-C20</f>
        <v>0.0548</v>
      </c>
      <c r="D21" s="39" t="n">
        <f aca="false">D19-D20</f>
        <v>0.0566630854772186</v>
      </c>
      <c r="E21" s="39" t="n">
        <f aca="false">E19-E20</f>
        <v>0.0548055005689368</v>
      </c>
      <c r="F21" s="39" t="n">
        <f aca="false">F19-F20</f>
        <v>0.0571922055951264</v>
      </c>
      <c r="G21" s="39" t="n">
        <f aca="false">G19-G20</f>
        <v>0.0591104564498958</v>
      </c>
      <c r="H21" s="39" t="n">
        <f aca="false">H19-H20</f>
        <v>0.0609196469107307</v>
      </c>
      <c r="I21" s="39" t="n">
        <f aca="false">I19-I20</f>
        <v>0.0594157204317006</v>
      </c>
      <c r="J21" s="39" t="n">
        <f aca="false">J19-J20</f>
        <v>0.0610703932654861</v>
      </c>
      <c r="K21" s="39" t="n">
        <f aca="false">K19-K20</f>
        <v>0.0626744593715716</v>
      </c>
      <c r="L21" s="39" t="n">
        <f aca="false">G21</f>
        <v>0.0591104564498958</v>
      </c>
      <c r="M21" s="39" t="n">
        <f aca="false">K21</f>
        <v>0.0626744593715716</v>
      </c>
      <c r="N21" s="19"/>
    </row>
    <row r="22" customFormat="false" ht="15" hidden="false" customHeight="false" outlineLevel="0" collapsed="false">
      <c r="B22" s="13" t="s">
        <v>51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15" hidden="false" customHeight="false" outlineLevel="0" collapsed="false">
      <c r="B23" s="15" t="s">
        <v>42</v>
      </c>
      <c r="C23" s="47" t="n">
        <f aca="false">Baseline!D9</f>
        <v>71599</v>
      </c>
      <c r="D23" s="47" t="n">
        <f aca="false">'P&amp;L'!D16</f>
        <v>17841.0152496831</v>
      </c>
      <c r="E23" s="47" t="n">
        <f aca="false">'P&amp;L'!E16</f>
        <v>17723.9646875146</v>
      </c>
      <c r="F23" s="47" t="n">
        <f aca="false">'P&amp;L'!F16</f>
        <v>17525.9327025593</v>
      </c>
      <c r="G23" s="47" t="n">
        <f aca="false">'P&amp;L'!G16</f>
        <v>16976.8784162093</v>
      </c>
      <c r="H23" s="47" t="n">
        <f aca="false">'P&amp;L'!H16</f>
        <v>17297.4474734173</v>
      </c>
      <c r="I23" s="47" t="n">
        <f aca="false">'P&amp;L'!I16</f>
        <v>17826.0098876989</v>
      </c>
      <c r="J23" s="47" t="n">
        <f aca="false">'P&amp;L'!J16</f>
        <v>18491.3858116882</v>
      </c>
      <c r="K23" s="47" t="n">
        <f aca="false">'P&amp;L'!K16</f>
        <v>19490.1580467455</v>
      </c>
      <c r="L23" s="47" t="n">
        <f aca="false">SUM(D23:G23)</f>
        <v>70067.7910559663</v>
      </c>
      <c r="M23" s="47" t="n">
        <f aca="false">SUM(H23:K23)</f>
        <v>73105.0012195499</v>
      </c>
      <c r="N23" s="19"/>
    </row>
    <row r="24" customFormat="false" ht="15" hidden="false" customHeight="false" outlineLevel="0" collapsed="false">
      <c r="B24" s="15" t="s">
        <v>434</v>
      </c>
      <c r="C24" s="47" t="n">
        <f aca="false">-SUMPRODUCT(Loan_Book!C6:C10,NPA_Provisions!C6:C10,NPA_Provisions!C34:C38)</f>
        <v>-10447.9103641</v>
      </c>
      <c r="D24" s="47" t="n">
        <f aca="false">-NPA_Provisions!D39</f>
        <v>-3483.37103808588</v>
      </c>
      <c r="E24" s="47" t="n">
        <f aca="false">-NPA_Provisions!E39</f>
        <v>-4715.74765869446</v>
      </c>
      <c r="F24" s="47" t="n">
        <f aca="false">-NPA_Provisions!F39</f>
        <v>-5749.54950965723</v>
      </c>
      <c r="G24" s="47" t="n">
        <f aca="false">-NPA_Provisions!G39</f>
        <v>-6590.87170228228</v>
      </c>
      <c r="H24" s="47" t="n">
        <f aca="false">-NPA_Provisions!H39</f>
        <v>-5928.70240313567</v>
      </c>
      <c r="I24" s="47" t="n">
        <f aca="false">-NPA_Provisions!I39</f>
        <v>-5031.6188855099</v>
      </c>
      <c r="J24" s="47" t="n">
        <f aca="false">-NPA_Provisions!J39</f>
        <v>-4026.27464644533</v>
      </c>
      <c r="K24" s="47" t="n">
        <f aca="false">-NPA_Provisions!K39</f>
        <v>-3450.00125836103</v>
      </c>
      <c r="L24" s="47" t="n">
        <f aca="false">SUM(D24:G24)</f>
        <v>-20539.5399087199</v>
      </c>
      <c r="M24" s="47" t="n">
        <f aca="false">SUM(H24:K24)</f>
        <v>-18436.5971934519</v>
      </c>
      <c r="N24" s="19"/>
    </row>
    <row r="25" customFormat="false" ht="15" hidden="false" customHeight="false" outlineLevel="0" collapsed="false">
      <c r="B25" s="15" t="s">
        <v>435</v>
      </c>
      <c r="C25" s="47" t="n">
        <f aca="false">(C23+C24)*(1-Market!$C$29)</f>
        <v>45759.360374544</v>
      </c>
      <c r="D25" s="47" t="n">
        <f aca="false">(D23+D24)*(1-Market!$C$29)</f>
        <v>10743.8251635382</v>
      </c>
      <c r="E25" s="47" t="n">
        <f aca="false">(E23+E24)*(1-Market!$C$29)</f>
        <v>9734.04880266608</v>
      </c>
      <c r="F25" s="47" t="n">
        <f aca="false">(F23+F24)*(1-Market!$C$29)</f>
        <v>8812.26754324858</v>
      </c>
      <c r="G25" s="47" t="n">
        <f aca="false">(G23+G24)*(1-Market!$C$29)</f>
        <v>7771.84882403162</v>
      </c>
      <c r="H25" s="47" t="n">
        <f aca="false">(H23+H24)*(1-Market!$C$29)</f>
        <v>8507.23193609177</v>
      </c>
      <c r="I25" s="47" t="n">
        <f aca="false">(I23+I24)*(1-Market!$C$29)</f>
        <v>9574.04278693804</v>
      </c>
      <c r="J25" s="47" t="n">
        <f aca="false">(J23+J24)*(1-Market!$C$29)</f>
        <v>10824.2426849512</v>
      </c>
      <c r="K25" s="47" t="n">
        <f aca="false">(K23+K24)*(1-Market!$C$29)</f>
        <v>12002.8493247481</v>
      </c>
      <c r="L25" s="47" t="n">
        <f aca="false">SUM(D25:G25)</f>
        <v>37061.9903334845</v>
      </c>
      <c r="M25" s="47" t="n">
        <f aca="false">SUM(H25:K25)</f>
        <v>40908.3667327291</v>
      </c>
      <c r="N25" s="19"/>
    </row>
    <row r="26" customFormat="false" ht="15" hidden="false" customHeight="false" outlineLevel="0" collapsed="false">
      <c r="B26" s="15" t="s">
        <v>436</v>
      </c>
      <c r="C26" s="33" t="n">
        <v>0.12</v>
      </c>
      <c r="D26" s="35" t="n">
        <f aca="false">$C26</f>
        <v>0.12</v>
      </c>
      <c r="E26" s="35" t="n">
        <f aca="false">$C26</f>
        <v>0.12</v>
      </c>
      <c r="F26" s="35" t="n">
        <f aca="false">$C26</f>
        <v>0.12</v>
      </c>
      <c r="G26" s="35" t="n">
        <f aca="false">$C26</f>
        <v>0.12</v>
      </c>
      <c r="H26" s="35" t="n">
        <f aca="false">$C26</f>
        <v>0.12</v>
      </c>
      <c r="I26" s="35" t="n">
        <f aca="false">$C26</f>
        <v>0.12</v>
      </c>
      <c r="J26" s="35" t="n">
        <f aca="false">$C26</f>
        <v>0.12</v>
      </c>
      <c r="K26" s="35" t="n">
        <f aca="false">$C26</f>
        <v>0.12</v>
      </c>
      <c r="L26" s="35" t="n">
        <f aca="false">G26</f>
        <v>0.12</v>
      </c>
      <c r="M26" s="35" t="n">
        <f aca="false">K26</f>
        <v>0.12</v>
      </c>
      <c r="N26" s="36" t="s">
        <v>437</v>
      </c>
    </row>
    <row r="27" customFormat="false" ht="15" hidden="false" customHeight="false" outlineLevel="0" collapsed="false">
      <c r="B27" s="15" t="s">
        <v>438</v>
      </c>
      <c r="C27" s="47" t="n">
        <f aca="false">C14*C26</f>
        <v>250811.743119266</v>
      </c>
      <c r="D27" s="47" t="n">
        <f aca="false">D14*D26</f>
        <v>254610.517397071</v>
      </c>
      <c r="E27" s="47" t="n">
        <f aca="false">E14*E26</f>
        <v>257017.399918769</v>
      </c>
      <c r="F27" s="47" t="n">
        <f aca="false">F14*F26</f>
        <v>258860.140739244</v>
      </c>
      <c r="G27" s="47" t="n">
        <f aca="false">G14*G26</f>
        <v>261126.032009243</v>
      </c>
      <c r="H27" s="47" t="n">
        <f aca="false">H14*H26</f>
        <v>264269.331840368</v>
      </c>
      <c r="I27" s="47" t="n">
        <f aca="false">I14*I26</f>
        <v>268125.837305157</v>
      </c>
      <c r="J27" s="47" t="n">
        <f aca="false">J14*J26</f>
        <v>273135.37551674</v>
      </c>
      <c r="K27" s="47" t="n">
        <f aca="false">K14*K26</f>
        <v>278878.075396641</v>
      </c>
      <c r="L27" s="47" t="n">
        <f aca="false">AVERAGE(D27:G27)</f>
        <v>257903.522516082</v>
      </c>
      <c r="M27" s="47" t="n">
        <f aca="false">AVERAGE(H27:K27)</f>
        <v>271102.155014727</v>
      </c>
      <c r="N27" s="19"/>
    </row>
    <row r="28" customFormat="false" ht="15" hidden="false" customHeight="false" outlineLevel="0" collapsed="false">
      <c r="B28" s="54" t="s">
        <v>439</v>
      </c>
      <c r="C28" s="57" t="n">
        <f aca="false">C25/C27</f>
        <v>0.182445047450527</v>
      </c>
      <c r="D28" s="57" t="n">
        <f aca="false">D25*4/D27</f>
        <v>0.168788395285069</v>
      </c>
      <c r="E28" s="57" t="n">
        <f aca="false">E25*4/E27</f>
        <v>0.151492448460572</v>
      </c>
      <c r="F28" s="57" t="n">
        <f aca="false">F25*4/F27</f>
        <v>0.136170327622983</v>
      </c>
      <c r="G28" s="57" t="n">
        <f aca="false">G25*4/G27</f>
        <v>0.119051306592926</v>
      </c>
      <c r="H28" s="57" t="n">
        <f aca="false">H25*4/H27</f>
        <v>0.12876608688337</v>
      </c>
      <c r="I28" s="57" t="n">
        <f aca="false">I25*4/I27</f>
        <v>0.142829096713149</v>
      </c>
      <c r="J28" s="57" t="n">
        <f aca="false">J25*4/J27</f>
        <v>0.158518356173718</v>
      </c>
      <c r="K28" s="57" t="n">
        <f aca="false">K25*4/K27</f>
        <v>0.172159095800941</v>
      </c>
      <c r="L28" s="57" t="n">
        <f aca="false">L25/L27</f>
        <v>0.143704862856898</v>
      </c>
      <c r="M28" s="57" t="n">
        <f aca="false">M25/M27</f>
        <v>0.150896501470108</v>
      </c>
      <c r="N28" s="19"/>
    </row>
    <row r="29" customFormat="false" ht="15" hidden="false" customHeight="false" outlineLevel="0" collapsed="false">
      <c r="B29" s="15" t="s">
        <v>440</v>
      </c>
      <c r="C29" s="33" t="n">
        <v>0.14</v>
      </c>
      <c r="D29" s="35" t="n">
        <f aca="false">$C29</f>
        <v>0.14</v>
      </c>
      <c r="E29" s="35" t="n">
        <f aca="false">$C29</f>
        <v>0.14</v>
      </c>
      <c r="F29" s="35" t="n">
        <f aca="false">$C29</f>
        <v>0.14</v>
      </c>
      <c r="G29" s="35" t="n">
        <f aca="false">$C29</f>
        <v>0.14</v>
      </c>
      <c r="H29" s="35" t="n">
        <f aca="false">$C29</f>
        <v>0.14</v>
      </c>
      <c r="I29" s="35" t="n">
        <f aca="false">$C29</f>
        <v>0.14</v>
      </c>
      <c r="J29" s="35" t="n">
        <f aca="false">$C29</f>
        <v>0.14</v>
      </c>
      <c r="K29" s="35" t="n">
        <f aca="false">$C29</f>
        <v>0.14</v>
      </c>
      <c r="L29" s="35" t="n">
        <f aca="false">$C29</f>
        <v>0.14</v>
      </c>
      <c r="M29" s="35" t="n">
        <f aca="false">$C29</f>
        <v>0.14</v>
      </c>
      <c r="N29" s="36" t="s">
        <v>441</v>
      </c>
    </row>
    <row r="30" customFormat="false" ht="15" hidden="false" customHeight="false" outlineLevel="0" collapsed="false">
      <c r="B30" s="15" t="s">
        <v>442</v>
      </c>
      <c r="C30" s="17" t="n">
        <f aca="false">C28-C29</f>
        <v>0.0424450474505274</v>
      </c>
      <c r="D30" s="17" t="n">
        <f aca="false">D28-D29</f>
        <v>0.0287883952850694</v>
      </c>
      <c r="E30" s="17" t="n">
        <f aca="false">E28-E29</f>
        <v>0.0114924484605717</v>
      </c>
      <c r="F30" s="17" t="n">
        <f aca="false">F28-F29</f>
        <v>-0.00382967237701701</v>
      </c>
      <c r="G30" s="17" t="n">
        <f aca="false">G28-G29</f>
        <v>-0.0209486934070744</v>
      </c>
      <c r="H30" s="17" t="n">
        <f aca="false">H28-H29</f>
        <v>-0.0112339131166298</v>
      </c>
      <c r="I30" s="17" t="n">
        <f aca="false">I28-I29</f>
        <v>0.00282909671314852</v>
      </c>
      <c r="J30" s="17" t="n">
        <f aca="false">J28-J29</f>
        <v>0.0185183561737181</v>
      </c>
      <c r="K30" s="17" t="n">
        <f aca="false">K28-K29</f>
        <v>0.032159095800941</v>
      </c>
      <c r="L30" s="17" t="n">
        <f aca="false">L28-L29</f>
        <v>0.00370486285689825</v>
      </c>
      <c r="M30" s="17" t="n">
        <f aca="false">M28-M29</f>
        <v>0.0108965014701079</v>
      </c>
      <c r="N30" s="19"/>
    </row>
    <row r="31" customFormat="false" ht="15" hidden="false" customHeight="false" outlineLevel="0" collapsed="false">
      <c r="B31" s="15" t="s">
        <v>53</v>
      </c>
      <c r="C31" s="47" t="n">
        <f aca="false">C25-C27*C29</f>
        <v>10645.7163378467</v>
      </c>
      <c r="D31" s="47" t="n">
        <f aca="false">D25-D27*D29/4</f>
        <v>1832.45705464073</v>
      </c>
      <c r="E31" s="47" t="n">
        <f aca="false">E25-E27*E29/4</f>
        <v>738.439805509152</v>
      </c>
      <c r="F31" s="47" t="n">
        <f aca="false">F25-F27*F29/4</f>
        <v>-247.837382624955</v>
      </c>
      <c r="G31" s="47" t="n">
        <f aca="false">G25-G27*G29/4</f>
        <v>-1367.56229629188</v>
      </c>
      <c r="H31" s="47" t="n">
        <f aca="false">H25-H27*H29/4</f>
        <v>-742.194678321128</v>
      </c>
      <c r="I31" s="47" t="n">
        <f aca="false">I25-I27*I29/4</f>
        <v>189.638481257552</v>
      </c>
      <c r="J31" s="47" t="n">
        <f aca="false">J25-J27*J29/4</f>
        <v>1264.50454186531</v>
      </c>
      <c r="K31" s="47" t="n">
        <f aca="false">K25-K27*K29/4</f>
        <v>2242.11668586565</v>
      </c>
      <c r="L31" s="47" t="n">
        <f aca="false">SUM(D31:G31)</f>
        <v>955.497181233047</v>
      </c>
      <c r="M31" s="47" t="n">
        <f aca="false">SUM(H31:K31)</f>
        <v>2954.06503066739</v>
      </c>
      <c r="N3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2" min="3" style="0" width="13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9" t="s">
        <v>443</v>
      </c>
    </row>
    <row r="2" customFormat="false" ht="15" hidden="false" customHeight="false" outlineLevel="0" collapsed="false">
      <c r="A2" s="10" t="s">
        <v>444</v>
      </c>
    </row>
    <row r="4" customFormat="false" ht="30" hidden="false" customHeight="true" outlineLevel="0" collapsed="false">
      <c r="B4" s="58" t="s">
        <v>445</v>
      </c>
      <c r="C4" s="58" t="s">
        <v>446</v>
      </c>
      <c r="D4" s="58" t="s">
        <v>447</v>
      </c>
      <c r="E4" s="58" t="s">
        <v>448</v>
      </c>
      <c r="F4" s="58" t="s">
        <v>449</v>
      </c>
      <c r="G4" s="58" t="s">
        <v>450</v>
      </c>
      <c r="H4" s="58" t="s">
        <v>451</v>
      </c>
      <c r="I4" s="58" t="s">
        <v>452</v>
      </c>
      <c r="J4" s="58" t="s">
        <v>453</v>
      </c>
      <c r="K4" s="58" t="s">
        <v>454</v>
      </c>
      <c r="L4" s="58" t="s">
        <v>455</v>
      </c>
      <c r="M4" s="58" t="s">
        <v>456</v>
      </c>
    </row>
    <row r="5" customFormat="false" ht="15" hidden="false" customHeight="false" outlineLevel="0" collapsed="false">
      <c r="B5" s="15" t="s">
        <v>185</v>
      </c>
      <c r="C5" s="59" t="n">
        <f aca="false">Loan_Book!C22</f>
        <v>0.087</v>
      </c>
      <c r="D5" s="59" t="n">
        <f aca="false">Funding!C13+0.005</f>
        <v>0.052096</v>
      </c>
      <c r="E5" s="37" t="n">
        <v>0.004</v>
      </c>
      <c r="F5" s="37" t="n">
        <v>0.012</v>
      </c>
      <c r="G5" s="59" t="n">
        <f aca="false">NPA_Provisions!C6</f>
        <v>0.01</v>
      </c>
      <c r="H5" s="60" t="n">
        <f aca="false">NPA_Provisions!C34</f>
        <v>0.25</v>
      </c>
      <c r="I5" s="60" t="n">
        <f aca="false">Capital_RAROC!C6</f>
        <v>0.6</v>
      </c>
      <c r="J5" s="57" t="n">
        <f aca="false">(C5-D5+E5-F5-G5*H5)*(1-Market!$C$29)/(I5*Capital_RAROC!$C$26*(1+Capital_RAROC!$C$13))</f>
        <v>0.173209546289703</v>
      </c>
      <c r="K5" s="59" t="n">
        <f aca="false">G5*Market!$G$10*(1-Decisions!$G$19)</f>
        <v>0.0255</v>
      </c>
      <c r="L5" s="57" t="n">
        <f aca="false">(Loan_Book!G22-(Funding!G13+0.005)+E5-F5-K5*H5)*(1-Market!$C$29)/(I5*Capital_RAROC!$C$26*(1+Capital_RAROC!$C$13))</f>
        <v>0.113330298507793</v>
      </c>
      <c r="M5" s="15" t="str">
        <f aca="false">IF(L5&gt;=0.14,"Above hurdle – grow",IF(L5&gt;=0,"Below hurdle – reprice","Destroys value – shrink"))</f>
        <v>Below hurdle – reprice</v>
      </c>
    </row>
    <row r="6" customFormat="false" ht="15" hidden="false" customHeight="false" outlineLevel="0" collapsed="false">
      <c r="B6" s="15" t="s">
        <v>264</v>
      </c>
      <c r="C6" s="59" t="n">
        <f aca="false">Loan_Book!C23</f>
        <v>0.147</v>
      </c>
      <c r="D6" s="59" t="n">
        <f aca="false">Funding!C13+0.005</f>
        <v>0.052096</v>
      </c>
      <c r="E6" s="37" t="n">
        <v>0.015</v>
      </c>
      <c r="F6" s="37" t="n">
        <v>0.035</v>
      </c>
      <c r="G6" s="59" t="n">
        <f aca="false">NPA_Provisions!C7</f>
        <v>0.04</v>
      </c>
      <c r="H6" s="60" t="n">
        <f aca="false">NPA_Provisions!C35</f>
        <v>0.65</v>
      </c>
      <c r="I6" s="60" t="n">
        <f aca="false">Capital_RAROC!C7</f>
        <v>1.25</v>
      </c>
      <c r="J6" s="57" t="n">
        <f aca="false">(C6-D6+E6-F6-G6*H6)*(1-Market!$C$29)/(I6*Capital_RAROC!$C$26*(1+Capital_RAROC!$C$13))</f>
        <v>0.166608221309653</v>
      </c>
      <c r="K6" s="59" t="n">
        <f aca="false">G6*Market!$G$10*(1-Decisions!$G$19)</f>
        <v>0.102</v>
      </c>
      <c r="L6" s="57" t="n">
        <f aca="false">(Loan_Book!G23-(Funding!G13+0.005)+E6-F6-K6*H6)*(1-Market!$C$29)/(I6*Capital_RAROC!$C$26*(1+Capital_RAROC!$C$13))</f>
        <v>0.0495437928468386</v>
      </c>
      <c r="M6" s="15" t="str">
        <f aca="false">IF(L6&gt;=0.14,"Above hurdle – grow",IF(L6&gt;=0,"Below hurdle – reprice","Destroys value – shrink"))</f>
        <v>Below hurdle – reprice</v>
      </c>
    </row>
    <row r="7" customFormat="false" ht="15" hidden="false" customHeight="false" outlineLevel="0" collapsed="false">
      <c r="B7" s="15" t="s">
        <v>189</v>
      </c>
      <c r="C7" s="59" t="n">
        <f aca="false">Loan_Book!C24</f>
        <v>0.097</v>
      </c>
      <c r="D7" s="59" t="n">
        <f aca="false">Funding!C13+0.005</f>
        <v>0.052096</v>
      </c>
      <c r="E7" s="37" t="n">
        <v>0.01</v>
      </c>
      <c r="F7" s="37" t="n">
        <v>0.018</v>
      </c>
      <c r="G7" s="59" t="n">
        <f aca="false">NPA_Provisions!C8</f>
        <v>0.02</v>
      </c>
      <c r="H7" s="60" t="n">
        <f aca="false">NPA_Provisions!C36</f>
        <v>0.4</v>
      </c>
      <c r="I7" s="60" t="n">
        <f aca="false">Capital_RAROC!C8</f>
        <v>0.85</v>
      </c>
      <c r="J7" s="57" t="n">
        <f aca="false">(C7-D7+E7-F7-G7*H7)*(1-Market!$C$29)/(I7*Capital_RAROC!$C$26*(1+Capital_RAROC!$C$13))</f>
        <v>0.144810842753576</v>
      </c>
      <c r="K7" s="59" t="n">
        <f aca="false">G7*Market!$G$10*(1-Decisions!$G$19)</f>
        <v>0.051</v>
      </c>
      <c r="L7" s="57" t="n">
        <f aca="false">(Loan_Book!G24-(Funding!G13+0.005)+E7-F7-K7*H7)*(1-Market!$C$29)/(I7*Capital_RAROC!$C$26*(1+Capital_RAROC!$C$13))</f>
        <v>0.0898927309517151</v>
      </c>
      <c r="M7" s="15" t="str">
        <f aca="false">IF(L7&gt;=0.14,"Above hurdle – grow",IF(L7&gt;=0,"Below hurdle – reprice","Destroys value – shrink"))</f>
        <v>Below hurdle – reprice</v>
      </c>
    </row>
    <row r="8" customFormat="false" ht="15" hidden="false" customHeight="false" outlineLevel="0" collapsed="false">
      <c r="B8" s="15" t="s">
        <v>191</v>
      </c>
      <c r="C8" s="59" t="n">
        <f aca="false">Loan_Book!C25</f>
        <v>0.102</v>
      </c>
      <c r="D8" s="59" t="n">
        <f aca="false">Funding!C13+0.005</f>
        <v>0.052096</v>
      </c>
      <c r="E8" s="37" t="n">
        <v>0.005</v>
      </c>
      <c r="F8" s="37" t="n">
        <v>0.025</v>
      </c>
      <c r="G8" s="59" t="n">
        <f aca="false">NPA_Provisions!C9</f>
        <v>0.025</v>
      </c>
      <c r="H8" s="60" t="n">
        <f aca="false">NPA_Provisions!C37</f>
        <v>0.45</v>
      </c>
      <c r="I8" s="60" t="n">
        <f aca="false">Capital_RAROC!C9</f>
        <v>0.9</v>
      </c>
      <c r="J8" s="57" t="n">
        <f aca="false">(C8-D8+E8-F8-G8*H8)*(1-Market!$C$29)/(I8*Capital_RAROC!$C$26*(1+Capital_RAROC!$C$13))</f>
        <v>0.0882656088206335</v>
      </c>
      <c r="K8" s="59" t="n">
        <f aca="false">G8*Market!$G$10*(1-Decisions!$G$19)</f>
        <v>0.06375</v>
      </c>
      <c r="L8" s="57" t="n">
        <f aca="false">(Loan_Book!G25-(Funding!G13+0.005)+E8-F8-K8*H8)*(1-Market!$C$29)/(I8*Capital_RAROC!$C$26*(1+Capital_RAROC!$C$13))</f>
        <v>-0.0110961921992569</v>
      </c>
      <c r="M8" s="15" t="str">
        <f aca="false">IF(L8&gt;=0.14,"Above hurdle – grow",IF(L8&gt;=0,"Below hurdle – reprice","Destroys value – shrink"))</f>
        <v>Destroys value – shrink</v>
      </c>
    </row>
    <row r="9" customFormat="false" ht="15" hidden="false" customHeight="false" outlineLevel="0" collapsed="false">
      <c r="B9" s="15" t="s">
        <v>193</v>
      </c>
      <c r="C9" s="59" t="n">
        <f aca="false">Loan_Book!C26</f>
        <v>0.077</v>
      </c>
      <c r="D9" s="59" t="n">
        <f aca="false">Funding!C13+0.005</f>
        <v>0.052096</v>
      </c>
      <c r="E9" s="37" t="n">
        <v>0.008</v>
      </c>
      <c r="F9" s="37" t="n">
        <v>0.005</v>
      </c>
      <c r="G9" s="59" t="n">
        <f aca="false">NPA_Provisions!C10</f>
        <v>0.004</v>
      </c>
      <c r="H9" s="60" t="n">
        <f aca="false">NPA_Provisions!C38</f>
        <v>0.45</v>
      </c>
      <c r="I9" s="60" t="n">
        <f aca="false">Capital_RAROC!C10</f>
        <v>0.7</v>
      </c>
      <c r="J9" s="57" t="n">
        <f aca="false">(C9-D9+E9-F9-G9*H9)*(1-Market!$C$29)/(I9*Capital_RAROC!$C$26*(1+Capital_RAROC!$C$13))</f>
        <v>0.158807525570038</v>
      </c>
      <c r="K9" s="59" t="n">
        <f aca="false">G9*Market!$G$10*(1-Decisions!$G$19)</f>
        <v>0.0102</v>
      </c>
      <c r="L9" s="57" t="n">
        <f aca="false">(Loan_Book!G26-(Funding!G13+0.005)+E9-F9-K9*H9)*(1-Market!$C$29)/(I9*Capital_RAROC!$C$26*(1+Capital_RAROC!$C$13))</f>
        <v>0.120166860379705</v>
      </c>
      <c r="M9" s="15" t="str">
        <f aca="false">IF(L9&gt;=0.14,"Above hurdle – grow",IF(L9&gt;=0,"Below hurdle – reprice","Destroys value – shrink"))</f>
        <v>Below hurdle – reprice</v>
      </c>
    </row>
    <row r="11" customFormat="false" ht="15" hidden="false" customHeight="false" outlineLevel="0" collapsed="false">
      <c r="B11" s="10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3" min="3" style="0" width="13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9" t="s">
        <v>458</v>
      </c>
    </row>
    <row r="2" customFormat="false" ht="15" hidden="false" customHeight="false" outlineLevel="0" collapsed="false">
      <c r="A2" s="10" t="s">
        <v>459</v>
      </c>
    </row>
    <row r="4" customFormat="false" ht="27.75" hidden="false" customHeight="true" outlineLevel="0" collapsed="false">
      <c r="B4" s="31" t="s">
        <v>128</v>
      </c>
      <c r="C4" s="32" t="s">
        <v>460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36</v>
      </c>
      <c r="M4" s="32" t="s">
        <v>37</v>
      </c>
      <c r="N4" s="32" t="s">
        <v>138</v>
      </c>
    </row>
    <row r="5" customFormat="false" ht="15" hidden="false" customHeight="false" outlineLevel="0" collapsed="false">
      <c r="B5" s="15" t="s">
        <v>461</v>
      </c>
      <c r="C5" s="47" t="n">
        <f aca="false">Market!C27</f>
        <v>26229916</v>
      </c>
      <c r="D5" s="47" t="n">
        <f aca="false">C5*(1+Market!D12)</f>
        <v>26885663.9</v>
      </c>
      <c r="E5" s="47" t="n">
        <f aca="false">D5*(1+Market!E12)</f>
        <v>27477148.5058</v>
      </c>
      <c r="F5" s="47" t="n">
        <f aca="false">E5*(1+Market!F12)</f>
        <v>28026691.475916</v>
      </c>
      <c r="G5" s="47" t="n">
        <f aca="false">F5*(1+Market!G12)</f>
        <v>28587225.3054343</v>
      </c>
      <c r="H5" s="47" t="n">
        <f aca="false">G5*(1+Market!H12)</f>
        <v>29187557.0368484</v>
      </c>
      <c r="I5" s="47" t="n">
        <f aca="false">H5*(1+Market!I12)</f>
        <v>29858870.848696</v>
      </c>
      <c r="J5" s="47" t="n">
        <f aca="false">I5*(1+Market!J12)</f>
        <v>30605342.6199133</v>
      </c>
      <c r="K5" s="47" t="n">
        <f aca="false">J5*(1+Market!K12)</f>
        <v>31401081.5280311</v>
      </c>
      <c r="L5" s="47" t="n">
        <f aca="false">G5</f>
        <v>28587225.3054343</v>
      </c>
      <c r="M5" s="47" t="n">
        <f aca="false">K5</f>
        <v>31401081.5280311</v>
      </c>
      <c r="N5" s="19"/>
    </row>
    <row r="6" customFormat="false" ht="15" hidden="false" customHeight="false" outlineLevel="0" collapsed="false">
      <c r="B6" s="15" t="s">
        <v>462</v>
      </c>
      <c r="C6" s="47" t="n">
        <f aca="false">Funding!C6</f>
        <v>1794625</v>
      </c>
      <c r="D6" s="47" t="n">
        <f aca="false">Funding!D6</f>
        <v>1841644.175</v>
      </c>
      <c r="E6" s="47" t="n">
        <f aca="false">Funding!E6</f>
        <v>1886948.621705</v>
      </c>
      <c r="F6" s="47" t="n">
        <f aca="false">Funding!F6</f>
        <v>1930725.82972856</v>
      </c>
      <c r="G6" s="47" t="n">
        <f aca="false">Funding!G6</f>
        <v>1975132.52381231</v>
      </c>
      <c r="H6" s="47" t="n">
        <f aca="false">Funding!H6</f>
        <v>2021350.62486952</v>
      </c>
      <c r="I6" s="47" t="n">
        <f aca="false">Funding!I6</f>
        <v>2071884.39049126</v>
      </c>
      <c r="J6" s="47" t="n">
        <f aca="false">Funding!J6</f>
        <v>2126996.51527833</v>
      </c>
      <c r="K6" s="47" t="n">
        <f aca="false">Funding!K6</f>
        <v>2185701.61910001</v>
      </c>
      <c r="L6" s="47" t="n">
        <f aca="false">G6</f>
        <v>1975132.52381231</v>
      </c>
      <c r="M6" s="47" t="n">
        <f aca="false">K6</f>
        <v>2185701.61910001</v>
      </c>
      <c r="N6" s="19"/>
    </row>
    <row r="7" customFormat="false" ht="15" hidden="false" customHeight="false" outlineLevel="0" collapsed="false">
      <c r="B7" s="54" t="s">
        <v>463</v>
      </c>
      <c r="C7" s="56" t="n">
        <f aca="false">C6/C5</f>
        <v>0.0684190143803739</v>
      </c>
      <c r="D7" s="56" t="n">
        <f aca="false">D6/D5</f>
        <v>0.0684991146898924</v>
      </c>
      <c r="E7" s="56" t="n">
        <f aca="false">E6/E5</f>
        <v>0.0686733785824499</v>
      </c>
      <c r="F7" s="56" t="n">
        <f aca="false">F6/F5</f>
        <v>0.0688888244760419</v>
      </c>
      <c r="G7" s="56" t="n">
        <f aca="false">G6/G5</f>
        <v>0.0690914386656773</v>
      </c>
      <c r="H7" s="56" t="n">
        <f aca="false">H6/H5</f>
        <v>0.0692538475322763</v>
      </c>
      <c r="I7" s="56" t="n">
        <f aca="false">I6/I5</f>
        <v>0.0693892411735907</v>
      </c>
      <c r="J7" s="56" t="n">
        <f aca="false">J6/J5</f>
        <v>0.0694975560866421</v>
      </c>
      <c r="K7" s="56" t="n">
        <f aca="false">K6/K5</f>
        <v>0.069605934341748</v>
      </c>
      <c r="L7" s="56" t="n">
        <f aca="false">G7</f>
        <v>0.0690914386656773</v>
      </c>
      <c r="M7" s="56" t="n">
        <f aca="false">K7</f>
        <v>0.069605934341748</v>
      </c>
      <c r="N7" s="19"/>
    </row>
    <row r="8" customFormat="false" ht="15" hidden="false" customHeight="false" outlineLevel="0" collapsed="false">
      <c r="B8" s="15" t="s">
        <v>464</v>
      </c>
      <c r="C8" s="47" t="n">
        <f aca="false">Market!C28</f>
        <v>20600000</v>
      </c>
      <c r="D8" s="47" t="n">
        <f aca="false">C8*(1+Market!D13)</f>
        <v>21012000</v>
      </c>
      <c r="E8" s="47" t="n">
        <f aca="false">D8*(1+Market!E13)</f>
        <v>21327180</v>
      </c>
      <c r="F8" s="47" t="n">
        <f aca="false">E8*(1+Market!F13)</f>
        <v>21540451.8</v>
      </c>
      <c r="G8" s="47" t="n">
        <f aca="false">F8*(1+Market!G13)</f>
        <v>21712775.4144</v>
      </c>
      <c r="H8" s="47" t="n">
        <f aca="false">G8*(1+Market!H13)</f>
        <v>21929903.168544</v>
      </c>
      <c r="I8" s="47" t="n">
        <f aca="false">H8*(1+Market!I13)</f>
        <v>22236921.8129036</v>
      </c>
      <c r="J8" s="47" t="n">
        <f aca="false">I8*(1+Market!J13)</f>
        <v>22637186.4055359</v>
      </c>
      <c r="K8" s="47" t="n">
        <f aca="false">J8*(1+Market!K13)</f>
        <v>23135204.5064577</v>
      </c>
      <c r="L8" s="47" t="n">
        <f aca="false">G8</f>
        <v>21712775.4144</v>
      </c>
      <c r="M8" s="47" t="n">
        <f aca="false">K8</f>
        <v>23135204.5064577</v>
      </c>
      <c r="N8" s="19"/>
    </row>
    <row r="9" customFormat="false" ht="15" hidden="false" customHeight="false" outlineLevel="0" collapsed="false">
      <c r="B9" s="15" t="s">
        <v>465</v>
      </c>
      <c r="C9" s="47" t="n">
        <f aca="false">NPA_Provisions!C23</f>
        <v>1570559.78038949</v>
      </c>
      <c r="D9" s="47" t="n">
        <f aca="false">NPA_Provisions!D23</f>
        <v>1599075.46475476</v>
      </c>
      <c r="E9" s="47" t="n">
        <f aca="false">NPA_Provisions!E23</f>
        <v>1622591.13654321</v>
      </c>
      <c r="F9" s="47" t="n">
        <f aca="false">NPA_Provisions!F23</f>
        <v>1641365.68272738</v>
      </c>
      <c r="G9" s="47" t="n">
        <f aca="false">NPA_Provisions!G23</f>
        <v>1663622.89415761</v>
      </c>
      <c r="H9" s="47" t="n">
        <f aca="false">NPA_Provisions!H23</f>
        <v>1689001.68320156</v>
      </c>
      <c r="I9" s="47" t="n">
        <f aca="false">NPA_Provisions!I23</f>
        <v>1717016.32820215</v>
      </c>
      <c r="J9" s="47" t="n">
        <f aca="false">NPA_Provisions!J23</f>
        <v>1748792.56179998</v>
      </c>
      <c r="K9" s="47" t="n">
        <f aca="false">NPA_Provisions!K23</f>
        <v>1784677.46541457</v>
      </c>
      <c r="L9" s="47" t="n">
        <f aca="false">G9</f>
        <v>1663622.89415761</v>
      </c>
      <c r="M9" s="47" t="n">
        <f aca="false">K9</f>
        <v>1784677.46541457</v>
      </c>
      <c r="N9" s="19"/>
    </row>
    <row r="10" customFormat="false" ht="15" hidden="false" customHeight="false" outlineLevel="0" collapsed="false">
      <c r="B10" s="54" t="s">
        <v>466</v>
      </c>
      <c r="C10" s="56" t="n">
        <f aca="false">C9/C8</f>
        <v>0.0762407660383249</v>
      </c>
      <c r="D10" s="56" t="n">
        <f aca="false">D9/D8</f>
        <v>0.0761029632950106</v>
      </c>
      <c r="E10" s="56" t="n">
        <f aca="false">E9/E8</f>
        <v>0.0760809041112427</v>
      </c>
      <c r="F10" s="56" t="n">
        <f aca="false">F9/F8</f>
        <v>0.0761992226517448</v>
      </c>
      <c r="G10" s="56" t="n">
        <f aca="false">G9/G8</f>
        <v>0.0766195413716798</v>
      </c>
      <c r="H10" s="56" t="n">
        <f aca="false">H9/H8</f>
        <v>0.0770182006833595</v>
      </c>
      <c r="I10" s="56" t="n">
        <f aca="false">I9/I8</f>
        <v>0.0772146586946131</v>
      </c>
      <c r="J10" s="56" t="n">
        <f aca="false">J9/J8</f>
        <v>0.0772530883684518</v>
      </c>
      <c r="K10" s="56" t="n">
        <f aca="false">K9/K8</f>
        <v>0.0771412011904377</v>
      </c>
      <c r="L10" s="56" t="n">
        <f aca="false">G10</f>
        <v>0.0766195413716798</v>
      </c>
      <c r="M10" s="56" t="n">
        <f aca="false">K10</f>
        <v>0.0771412011904377</v>
      </c>
      <c r="N10" s="19"/>
    </row>
    <row r="11" customFormat="false" ht="15" hidden="false" customHeight="false" outlineLevel="0" collapsed="false">
      <c r="B11" s="15" t="s">
        <v>467</v>
      </c>
      <c r="C11" s="61"/>
      <c r="D11" s="61" t="n">
        <f aca="false">(D7-$C7)*10000</f>
        <v>0.801003095184799</v>
      </c>
      <c r="E11" s="61" t="n">
        <f aca="false">(E7-$C7)*10000</f>
        <v>2.54364202075946</v>
      </c>
      <c r="F11" s="61" t="n">
        <f aca="false">(F7-$C7)*10000</f>
        <v>4.69810095667947</v>
      </c>
      <c r="G11" s="61" t="n">
        <f aca="false">(G7-$C7)*10000</f>
        <v>6.72424285303355</v>
      </c>
      <c r="H11" s="61" t="n">
        <f aca="false">(H7-$C7)*10000</f>
        <v>8.34833151902414</v>
      </c>
      <c r="I11" s="61" t="n">
        <f aca="false">(I7-$C7)*10000</f>
        <v>9.70226793216747</v>
      </c>
      <c r="J11" s="61" t="n">
        <f aca="false">(J7-$C7)*10000</f>
        <v>10.785417062682</v>
      </c>
      <c r="K11" s="61" t="n">
        <f aca="false">(K7-$C7)*10000</f>
        <v>11.8691996137407</v>
      </c>
      <c r="L11" s="61" t="n">
        <f aca="false">(G7-$C7)*10000</f>
        <v>6.72424285303355</v>
      </c>
      <c r="M11" s="61" t="n">
        <f aca="false">(K7-$C7)*10000</f>
        <v>11.8691996137407</v>
      </c>
      <c r="N11" s="19"/>
    </row>
    <row r="12" customFormat="false" ht="15" hidden="false" customHeight="false" outlineLevel="0" collapsed="false">
      <c r="B12" s="15" t="s">
        <v>468</v>
      </c>
      <c r="C12" s="61"/>
      <c r="D12" s="61" t="n">
        <f aca="false">(D10-$C10)*10000</f>
        <v>-1.37802743314305</v>
      </c>
      <c r="E12" s="61" t="n">
        <f aca="false">(E10-$C10)*10000</f>
        <v>-1.598619270822</v>
      </c>
      <c r="F12" s="61" t="n">
        <f aca="false">(F10-$C10)*10000</f>
        <v>-0.415433865801201</v>
      </c>
      <c r="G12" s="61" t="n">
        <f aca="false">(G10-$C10)*10000</f>
        <v>3.78775333354911</v>
      </c>
      <c r="H12" s="61" t="n">
        <f aca="false">(H10-$C10)*10000</f>
        <v>7.77434645034533</v>
      </c>
      <c r="I12" s="61" t="n">
        <f aca="false">(I10-$C10)*10000</f>
        <v>9.73892656288195</v>
      </c>
      <c r="J12" s="61" t="n">
        <f aca="false">(J10-$C10)*10000</f>
        <v>10.1232233012692</v>
      </c>
      <c r="K12" s="61" t="n">
        <f aca="false">(K10-$C10)*10000</f>
        <v>9.004351521128</v>
      </c>
      <c r="L12" s="61" t="n">
        <f aca="false">(G10-$C10)*10000</f>
        <v>3.78775333354911</v>
      </c>
      <c r="M12" s="61" t="n">
        <f aca="false">(K10-$C10)*10000</f>
        <v>9.004351521128</v>
      </c>
      <c r="N1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13" min="3" style="0" width="11"/>
  </cols>
  <sheetData>
    <row r="1" customFormat="false" ht="17.35" hidden="false" customHeight="false" outlineLevel="0" collapsed="false">
      <c r="A1" s="9" t="s">
        <v>469</v>
      </c>
    </row>
    <row r="2" customFormat="false" ht="15" hidden="false" customHeight="false" outlineLevel="0" collapsed="false">
      <c r="A2" s="10" t="s">
        <v>470</v>
      </c>
    </row>
    <row r="4" customFormat="false" ht="15" hidden="false" customHeight="false" outlineLevel="0" collapsed="false">
      <c r="B4" s="11" t="s">
        <v>471</v>
      </c>
      <c r="C4" s="12" t="s">
        <v>120</v>
      </c>
      <c r="D4" s="12" t="s">
        <v>121</v>
      </c>
      <c r="E4" s="12" t="s">
        <v>122</v>
      </c>
      <c r="F4" s="12" t="s">
        <v>123</v>
      </c>
      <c r="G4" s="12" t="s">
        <v>124</v>
      </c>
      <c r="H4" s="12" t="s">
        <v>125</v>
      </c>
      <c r="I4" s="12" t="s">
        <v>126</v>
      </c>
      <c r="J4" s="12" t="s">
        <v>127</v>
      </c>
    </row>
    <row r="5" customFormat="false" ht="15" hidden="false" customHeight="false" outlineLevel="0" collapsed="false">
      <c r="B5" s="3" t="s">
        <v>472</v>
      </c>
    </row>
    <row r="6" customFormat="false" ht="15" hidden="false" customHeight="false" outlineLevel="0" collapsed="false">
      <c r="B6" s="6" t="s">
        <v>473</v>
      </c>
      <c r="C6" s="62" t="n">
        <v>0</v>
      </c>
      <c r="D6" s="62" t="n">
        <v>0</v>
      </c>
      <c r="E6" s="62" t="n">
        <v>0</v>
      </c>
      <c r="F6" s="62" t="n">
        <v>0</v>
      </c>
      <c r="G6" s="62" t="n">
        <v>0</v>
      </c>
      <c r="H6" s="62" t="n">
        <v>0</v>
      </c>
      <c r="I6" s="62" t="n">
        <v>0</v>
      </c>
      <c r="J6" s="62" t="n">
        <v>0</v>
      </c>
    </row>
    <row r="7" customFormat="false" ht="15" hidden="false" customHeight="false" outlineLevel="0" collapsed="false">
      <c r="B7" s="6" t="s">
        <v>474</v>
      </c>
      <c r="C7" s="62" t="n">
        <v>0</v>
      </c>
      <c r="D7" s="62" t="n">
        <v>0</v>
      </c>
      <c r="E7" s="62" t="n">
        <v>0</v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</row>
    <row r="8" customFormat="false" ht="15" hidden="false" customHeight="false" outlineLevel="0" collapsed="false">
      <c r="B8" s="6" t="s">
        <v>475</v>
      </c>
      <c r="C8" s="62" t="n">
        <v>2</v>
      </c>
      <c r="D8" s="62" t="n">
        <v>3</v>
      </c>
      <c r="E8" s="62" t="n">
        <v>3</v>
      </c>
      <c r="F8" s="62" t="n">
        <v>4</v>
      </c>
      <c r="G8" s="62" t="n">
        <v>3</v>
      </c>
      <c r="H8" s="62" t="n">
        <v>3</v>
      </c>
      <c r="I8" s="62" t="n">
        <v>2</v>
      </c>
      <c r="J8" s="62" t="n">
        <v>2</v>
      </c>
    </row>
    <row r="9" customFormat="false" ht="15" hidden="false" customHeight="false" outlineLevel="0" collapsed="false">
      <c r="B9" s="6" t="s">
        <v>476</v>
      </c>
      <c r="C9" s="62" t="n">
        <v>23</v>
      </c>
      <c r="D9" s="62" t="n">
        <v>24</v>
      </c>
      <c r="E9" s="62" t="n">
        <v>26</v>
      </c>
      <c r="F9" s="62" t="n">
        <v>26</v>
      </c>
      <c r="G9" s="62" t="n">
        <v>27</v>
      </c>
      <c r="H9" s="62" t="n">
        <v>24</v>
      </c>
      <c r="I9" s="62" t="n">
        <v>23</v>
      </c>
      <c r="J9" s="62" t="n">
        <v>22</v>
      </c>
    </row>
    <row r="10" customFormat="false" ht="15" hidden="false" customHeight="false" outlineLevel="0" collapsed="false">
      <c r="B10" s="6" t="s">
        <v>477</v>
      </c>
      <c r="C10" s="62" t="n">
        <v>25</v>
      </c>
      <c r="D10" s="62" t="n">
        <v>23</v>
      </c>
      <c r="E10" s="62" t="n">
        <v>21</v>
      </c>
      <c r="F10" s="62" t="n">
        <v>20</v>
      </c>
      <c r="G10" s="62" t="n">
        <v>20</v>
      </c>
      <c r="H10" s="62" t="n">
        <v>23</v>
      </c>
      <c r="I10" s="62" t="n">
        <v>25</v>
      </c>
      <c r="J10" s="62" t="n">
        <v>26</v>
      </c>
    </row>
    <row r="11" customFormat="false" ht="15" hidden="false" customHeight="false" outlineLevel="0" collapsed="false">
      <c r="B11" s="5" t="s">
        <v>478</v>
      </c>
      <c r="C11" s="63" t="n">
        <f aca="false">(C6*1+C7*2+C8*3+C9*4+C10*5)/SUM(C6:C10)</f>
        <v>4.46</v>
      </c>
      <c r="D11" s="63" t="n">
        <f aca="false">(D6*1+D7*2+D8*3+D9*4+D10*5)/SUM(D6:D10)</f>
        <v>4.4</v>
      </c>
      <c r="E11" s="63" t="n">
        <f aca="false">(E6*1+E7*2+E8*3+E9*4+E10*5)/SUM(E6:E10)</f>
        <v>4.36</v>
      </c>
      <c r="F11" s="63" t="n">
        <f aca="false">(F6*1+F7*2+F8*3+F9*4+F10*5)/SUM(F6:F10)</f>
        <v>4.32</v>
      </c>
      <c r="G11" s="63" t="n">
        <f aca="false">(G6*1+G7*2+G8*3+G9*4+G10*5)/SUM(G6:G10)</f>
        <v>4.34</v>
      </c>
      <c r="H11" s="63" t="n">
        <f aca="false">(H6*1+H7*2+H8*3+H9*4+H10*5)/SUM(H6:H10)</f>
        <v>4.4</v>
      </c>
      <c r="I11" s="63" t="n">
        <f aca="false">(I6*1+I7*2+I8*3+I9*4+I10*5)/SUM(I6:I10)</f>
        <v>4.46</v>
      </c>
      <c r="J11" s="63" t="n">
        <f aca="false">(J6*1+J7*2+J8*3+J9*4+J10*5)/SUM(J6:J10)</f>
        <v>4.48</v>
      </c>
    </row>
    <row r="13" customFormat="false" ht="15" hidden="false" customHeight="false" outlineLevel="0" collapsed="false">
      <c r="B13" s="3" t="s">
        <v>479</v>
      </c>
    </row>
    <row r="14" customFormat="false" ht="15" hidden="false" customHeight="false" outlineLevel="0" collapsed="false">
      <c r="B14" s="6" t="s">
        <v>473</v>
      </c>
      <c r="C14" s="62" t="n">
        <v>0</v>
      </c>
      <c r="D14" s="62" t="n">
        <v>0</v>
      </c>
      <c r="E14" s="62" t="n">
        <v>0</v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</row>
    <row r="15" customFormat="false" ht="15" hidden="false" customHeight="false" outlineLevel="0" collapsed="false">
      <c r="B15" s="6" t="s">
        <v>474</v>
      </c>
      <c r="C15" s="62" t="n">
        <v>0</v>
      </c>
      <c r="D15" s="62" t="n">
        <v>1</v>
      </c>
      <c r="E15" s="62" t="n">
        <v>1</v>
      </c>
      <c r="F15" s="62" t="n">
        <v>1</v>
      </c>
      <c r="G15" s="62" t="n">
        <v>1</v>
      </c>
      <c r="H15" s="62" t="n">
        <v>1</v>
      </c>
      <c r="I15" s="62" t="n">
        <v>0</v>
      </c>
      <c r="J15" s="62" t="n">
        <v>0</v>
      </c>
    </row>
    <row r="16" customFormat="false" ht="15" hidden="false" customHeight="false" outlineLevel="0" collapsed="false">
      <c r="B16" s="6" t="s">
        <v>475</v>
      </c>
      <c r="C16" s="62" t="n">
        <v>9</v>
      </c>
      <c r="D16" s="62" t="n">
        <v>13</v>
      </c>
      <c r="E16" s="62" t="n">
        <v>17</v>
      </c>
      <c r="F16" s="62" t="n">
        <v>17</v>
      </c>
      <c r="G16" s="62" t="n">
        <v>17</v>
      </c>
      <c r="H16" s="62" t="n">
        <v>13</v>
      </c>
      <c r="I16" s="62" t="n">
        <v>10</v>
      </c>
      <c r="J16" s="62" t="n">
        <v>9</v>
      </c>
    </row>
    <row r="17" customFormat="false" ht="15" hidden="false" customHeight="false" outlineLevel="0" collapsed="false">
      <c r="B17" s="6" t="s">
        <v>476</v>
      </c>
      <c r="C17" s="62" t="n">
        <v>31</v>
      </c>
      <c r="D17" s="62" t="n">
        <v>29</v>
      </c>
      <c r="E17" s="62" t="n">
        <v>27</v>
      </c>
      <c r="F17" s="62" t="n">
        <v>28</v>
      </c>
      <c r="G17" s="62" t="n">
        <v>27</v>
      </c>
      <c r="H17" s="62" t="n">
        <v>29</v>
      </c>
      <c r="I17" s="62" t="n">
        <v>30</v>
      </c>
      <c r="J17" s="62" t="n">
        <v>31</v>
      </c>
    </row>
    <row r="18" customFormat="false" ht="15" hidden="false" customHeight="false" outlineLevel="0" collapsed="false">
      <c r="B18" s="6" t="s">
        <v>477</v>
      </c>
      <c r="C18" s="62" t="n">
        <v>10</v>
      </c>
      <c r="D18" s="62" t="n">
        <v>7</v>
      </c>
      <c r="E18" s="62" t="n">
        <v>5</v>
      </c>
      <c r="F18" s="62" t="n">
        <v>4</v>
      </c>
      <c r="G18" s="62" t="n">
        <v>5</v>
      </c>
      <c r="H18" s="62" t="n">
        <v>7</v>
      </c>
      <c r="I18" s="62" t="n">
        <v>10</v>
      </c>
      <c r="J18" s="62" t="n">
        <v>10</v>
      </c>
    </row>
    <row r="19" customFormat="false" ht="15" hidden="false" customHeight="false" outlineLevel="0" collapsed="false">
      <c r="B19" s="5" t="s">
        <v>478</v>
      </c>
      <c r="C19" s="63" t="n">
        <f aca="false">(C14*1+C15*2+C16*3+C17*4+C18*5)/SUM(C14:C18)</f>
        <v>4.02</v>
      </c>
      <c r="D19" s="63" t="n">
        <f aca="false">(D14*1+D15*2+D16*3+D17*4+D18*5)/SUM(D14:D18)</f>
        <v>3.84</v>
      </c>
      <c r="E19" s="63" t="n">
        <f aca="false">(E14*1+E15*2+E16*3+E17*4+E18*5)/SUM(E14:E18)</f>
        <v>3.72</v>
      </c>
      <c r="F19" s="63" t="n">
        <f aca="false">(F14*1+F15*2+F16*3+F17*4+F18*5)/SUM(F14:F18)</f>
        <v>3.7</v>
      </c>
      <c r="G19" s="63" t="n">
        <f aca="false">(G14*1+G15*2+G16*3+G17*4+G18*5)/SUM(G14:G18)</f>
        <v>3.72</v>
      </c>
      <c r="H19" s="63" t="n">
        <f aca="false">(H14*1+H15*2+H16*3+H17*4+H18*5)/SUM(H14:H18)</f>
        <v>3.84</v>
      </c>
      <c r="I19" s="63" t="n">
        <f aca="false">(I14*1+I15*2+I16*3+I17*4+I18*5)/SUM(I14:I18)</f>
        <v>4</v>
      </c>
      <c r="J19" s="63" t="n">
        <f aca="false">(J14*1+J15*2+J16*3+J17*4+J18*5)/SUM(J14:J18)</f>
        <v>4.02</v>
      </c>
    </row>
    <row r="21" customFormat="false" ht="15" hidden="false" customHeight="false" outlineLevel="0" collapsed="false">
      <c r="B21" s="3" t="s">
        <v>480</v>
      </c>
    </row>
    <row r="22" customFormat="false" ht="15" hidden="false" customHeight="false" outlineLevel="0" collapsed="false">
      <c r="B22" s="6" t="s">
        <v>473</v>
      </c>
      <c r="C22" s="62" t="n">
        <v>0</v>
      </c>
      <c r="D22" s="62" t="n">
        <v>0</v>
      </c>
      <c r="E22" s="62" t="n">
        <v>0</v>
      </c>
      <c r="F22" s="62" t="n">
        <v>0</v>
      </c>
      <c r="G22" s="62" t="n">
        <v>0</v>
      </c>
      <c r="H22" s="62" t="n">
        <v>0</v>
      </c>
      <c r="I22" s="62" t="n">
        <v>0</v>
      </c>
      <c r="J22" s="62" t="n">
        <v>0</v>
      </c>
    </row>
    <row r="23" customFormat="false" ht="15" hidden="false" customHeight="false" outlineLevel="0" collapsed="false">
      <c r="B23" s="6" t="s">
        <v>474</v>
      </c>
      <c r="C23" s="62" t="n">
        <v>1</v>
      </c>
      <c r="D23" s="62" t="n">
        <v>1</v>
      </c>
      <c r="E23" s="62" t="n">
        <v>1</v>
      </c>
      <c r="F23" s="62" t="n">
        <v>1</v>
      </c>
      <c r="G23" s="62" t="n">
        <v>2</v>
      </c>
      <c r="H23" s="62" t="n">
        <v>1</v>
      </c>
      <c r="I23" s="62" t="n">
        <v>1</v>
      </c>
      <c r="J23" s="62" t="n">
        <v>1</v>
      </c>
    </row>
    <row r="24" customFormat="false" ht="15" hidden="false" customHeight="false" outlineLevel="0" collapsed="false">
      <c r="B24" s="6" t="s">
        <v>475</v>
      </c>
      <c r="C24" s="62" t="n">
        <v>15</v>
      </c>
      <c r="D24" s="62" t="n">
        <v>15</v>
      </c>
      <c r="E24" s="62" t="n">
        <v>16</v>
      </c>
      <c r="F24" s="62" t="n">
        <v>18</v>
      </c>
      <c r="G24" s="62" t="n">
        <v>19</v>
      </c>
      <c r="H24" s="62" t="n">
        <v>18</v>
      </c>
      <c r="I24" s="62" t="n">
        <v>17</v>
      </c>
      <c r="J24" s="62" t="n">
        <v>17</v>
      </c>
    </row>
    <row r="25" customFormat="false" ht="15" hidden="false" customHeight="false" outlineLevel="0" collapsed="false">
      <c r="B25" s="6" t="s">
        <v>476</v>
      </c>
      <c r="C25" s="62" t="n">
        <v>28</v>
      </c>
      <c r="D25" s="62" t="n">
        <v>28</v>
      </c>
      <c r="E25" s="62" t="n">
        <v>28</v>
      </c>
      <c r="F25" s="62" t="n">
        <v>27</v>
      </c>
      <c r="G25" s="62" t="n">
        <v>25</v>
      </c>
      <c r="H25" s="62" t="n">
        <v>27</v>
      </c>
      <c r="I25" s="62" t="n">
        <v>28</v>
      </c>
      <c r="J25" s="62" t="n">
        <v>28</v>
      </c>
    </row>
    <row r="26" customFormat="false" ht="15" hidden="false" customHeight="false" outlineLevel="0" collapsed="false">
      <c r="B26" s="6" t="s">
        <v>477</v>
      </c>
      <c r="C26" s="62" t="n">
        <v>6</v>
      </c>
      <c r="D26" s="62" t="n">
        <v>6</v>
      </c>
      <c r="E26" s="62" t="n">
        <v>5</v>
      </c>
      <c r="F26" s="62" t="n">
        <v>4</v>
      </c>
      <c r="G26" s="62" t="n">
        <v>4</v>
      </c>
      <c r="H26" s="62" t="n">
        <v>4</v>
      </c>
      <c r="I26" s="62" t="n">
        <v>4</v>
      </c>
      <c r="J26" s="62" t="n">
        <v>4</v>
      </c>
    </row>
    <row r="27" customFormat="false" ht="15" hidden="false" customHeight="false" outlineLevel="0" collapsed="false">
      <c r="B27" s="5" t="s">
        <v>478</v>
      </c>
      <c r="C27" s="63" t="n">
        <f aca="false">(C22*1+C23*2+C24*3+C25*4+C26*5)/SUM(C22:C26)</f>
        <v>3.78</v>
      </c>
      <c r="D27" s="63" t="n">
        <f aca="false">(D22*1+D23*2+D24*3+D25*4+D26*5)/SUM(D22:D26)</f>
        <v>3.78</v>
      </c>
      <c r="E27" s="63" t="n">
        <f aca="false">(E22*1+E23*2+E24*3+E25*4+E26*5)/SUM(E22:E26)</f>
        <v>3.74</v>
      </c>
      <c r="F27" s="63" t="n">
        <f aca="false">(F22*1+F23*2+F24*3+F25*4+F26*5)/SUM(F22:F26)</f>
        <v>3.68</v>
      </c>
      <c r="G27" s="63" t="n">
        <f aca="false">(G22*1+G23*2+G24*3+G25*4+G26*5)/SUM(G22:G26)</f>
        <v>3.62</v>
      </c>
      <c r="H27" s="63" t="n">
        <f aca="false">(H22*1+H23*2+H24*3+H25*4+H26*5)/SUM(H22:H26)</f>
        <v>3.68</v>
      </c>
      <c r="I27" s="63" t="n">
        <f aca="false">(I22*1+I23*2+I24*3+I25*4+I26*5)/SUM(I22:I26)</f>
        <v>3.7</v>
      </c>
      <c r="J27" s="63" t="n">
        <f aca="false">(J22*1+J23*2+J24*3+J25*4+J26*5)/SUM(J22:J26)</f>
        <v>3.7</v>
      </c>
    </row>
    <row r="29" customFormat="false" ht="15" hidden="false" customHeight="false" outlineLevel="0" collapsed="false">
      <c r="B29" s="3" t="s">
        <v>481</v>
      </c>
    </row>
    <row r="30" customFormat="false" ht="15" hidden="false" customHeight="false" outlineLevel="0" collapsed="false">
      <c r="B30" s="6" t="s">
        <v>473</v>
      </c>
      <c r="C30" s="62" t="n">
        <v>0</v>
      </c>
      <c r="D30" s="62" t="n">
        <v>0</v>
      </c>
      <c r="E30" s="62" t="n">
        <v>0</v>
      </c>
      <c r="F30" s="62" t="n">
        <v>0</v>
      </c>
      <c r="G30" s="62" t="n">
        <v>0</v>
      </c>
      <c r="H30" s="62" t="n">
        <v>0</v>
      </c>
      <c r="I30" s="62" t="n">
        <v>0</v>
      </c>
      <c r="J30" s="62" t="n">
        <v>0</v>
      </c>
    </row>
    <row r="31" customFormat="false" ht="15" hidden="false" customHeight="false" outlineLevel="0" collapsed="false">
      <c r="B31" s="6" t="s">
        <v>474</v>
      </c>
      <c r="C31" s="62" t="n">
        <v>0</v>
      </c>
      <c r="D31" s="62" t="n">
        <v>0</v>
      </c>
      <c r="E31" s="62" t="n">
        <v>0</v>
      </c>
      <c r="F31" s="62" t="n">
        <v>0</v>
      </c>
      <c r="G31" s="62" t="n">
        <v>0</v>
      </c>
      <c r="H31" s="62" t="n">
        <v>0</v>
      </c>
      <c r="I31" s="62" t="n">
        <v>0</v>
      </c>
      <c r="J31" s="62" t="n">
        <v>0</v>
      </c>
    </row>
    <row r="32" customFormat="false" ht="15" hidden="false" customHeight="false" outlineLevel="0" collapsed="false">
      <c r="B32" s="6" t="s">
        <v>475</v>
      </c>
      <c r="C32" s="62" t="n">
        <v>6</v>
      </c>
      <c r="D32" s="62" t="n">
        <v>7</v>
      </c>
      <c r="E32" s="62" t="n">
        <v>8</v>
      </c>
      <c r="F32" s="62" t="n">
        <v>8</v>
      </c>
      <c r="G32" s="62" t="n">
        <v>9</v>
      </c>
      <c r="H32" s="62" t="n">
        <v>9</v>
      </c>
      <c r="I32" s="62" t="n">
        <v>9</v>
      </c>
      <c r="J32" s="62" t="n">
        <v>8</v>
      </c>
    </row>
    <row r="33" customFormat="false" ht="15" hidden="false" customHeight="false" outlineLevel="0" collapsed="false">
      <c r="B33" s="6" t="s">
        <v>476</v>
      </c>
      <c r="C33" s="62" t="n">
        <v>29</v>
      </c>
      <c r="D33" s="62" t="n">
        <v>30</v>
      </c>
      <c r="E33" s="62" t="n">
        <v>30</v>
      </c>
      <c r="F33" s="62" t="n">
        <v>31</v>
      </c>
      <c r="G33" s="62" t="n">
        <v>31</v>
      </c>
      <c r="H33" s="62" t="n">
        <v>30</v>
      </c>
      <c r="I33" s="62" t="n">
        <v>30</v>
      </c>
      <c r="J33" s="62" t="n">
        <v>31</v>
      </c>
    </row>
    <row r="34" customFormat="false" ht="15" hidden="false" customHeight="false" outlineLevel="0" collapsed="false">
      <c r="B34" s="6" t="s">
        <v>477</v>
      </c>
      <c r="C34" s="62" t="n">
        <v>15</v>
      </c>
      <c r="D34" s="62" t="n">
        <v>13</v>
      </c>
      <c r="E34" s="62" t="n">
        <v>12</v>
      </c>
      <c r="F34" s="62" t="n">
        <v>11</v>
      </c>
      <c r="G34" s="62" t="n">
        <v>10</v>
      </c>
      <c r="H34" s="62" t="n">
        <v>11</v>
      </c>
      <c r="I34" s="62" t="n">
        <v>11</v>
      </c>
      <c r="J34" s="62" t="n">
        <v>11</v>
      </c>
    </row>
    <row r="35" customFormat="false" ht="15" hidden="false" customHeight="false" outlineLevel="0" collapsed="false">
      <c r="B35" s="5" t="s">
        <v>478</v>
      </c>
      <c r="C35" s="63" t="n">
        <f aca="false">(C30*1+C31*2+C32*3+C33*4+C34*5)/SUM(C30:C34)</f>
        <v>4.18</v>
      </c>
      <c r="D35" s="63" t="n">
        <f aca="false">(D30*1+D31*2+D32*3+D33*4+D34*5)/SUM(D30:D34)</f>
        <v>4.12</v>
      </c>
      <c r="E35" s="63" t="n">
        <f aca="false">(E30*1+E31*2+E32*3+E33*4+E34*5)/SUM(E30:E34)</f>
        <v>4.08</v>
      </c>
      <c r="F35" s="63" t="n">
        <f aca="false">(F30*1+F31*2+F32*3+F33*4+F34*5)/SUM(F30:F34)</f>
        <v>4.06</v>
      </c>
      <c r="G35" s="63" t="n">
        <f aca="false">(G30*1+G31*2+G32*3+G33*4+G34*5)/SUM(G30:G34)</f>
        <v>4.02</v>
      </c>
      <c r="H35" s="63" t="n">
        <f aca="false">(H30*1+H31*2+H32*3+H33*4+H34*5)/SUM(H30:H34)</f>
        <v>4.04</v>
      </c>
      <c r="I35" s="63" t="n">
        <f aca="false">(I30*1+I31*2+I32*3+I33*4+I34*5)/SUM(I30:I34)</f>
        <v>4.04</v>
      </c>
      <c r="J35" s="63" t="n">
        <f aca="false">(J30*1+J31*2+J32*3+J33*4+J34*5)/SUM(J30:J34)</f>
        <v>4.06</v>
      </c>
    </row>
    <row r="37" customFormat="false" ht="15" hidden="false" customHeight="false" outlineLevel="0" collapsed="false">
      <c r="B37" s="3" t="s">
        <v>482</v>
      </c>
    </row>
    <row r="38" customFormat="false" ht="15" hidden="false" customHeight="false" outlineLevel="0" collapsed="false">
      <c r="B38" s="6" t="s">
        <v>483</v>
      </c>
      <c r="C38" s="62" t="n">
        <v>31</v>
      </c>
      <c r="D38" s="62" t="n">
        <v>29</v>
      </c>
      <c r="E38" s="62" t="n">
        <v>27</v>
      </c>
      <c r="F38" s="62" t="n">
        <v>25</v>
      </c>
      <c r="G38" s="62" t="n">
        <v>25</v>
      </c>
      <c r="H38" s="62" t="n">
        <v>28</v>
      </c>
      <c r="I38" s="62" t="n">
        <v>30</v>
      </c>
      <c r="J38" s="62" t="n">
        <v>31</v>
      </c>
    </row>
    <row r="39" customFormat="false" ht="15" hidden="false" customHeight="false" outlineLevel="0" collapsed="false">
      <c r="B39" s="6" t="s">
        <v>484</v>
      </c>
      <c r="C39" s="62" t="n">
        <v>15</v>
      </c>
      <c r="D39" s="62" t="n">
        <v>16</v>
      </c>
      <c r="E39" s="62" t="n">
        <v>17</v>
      </c>
      <c r="F39" s="62" t="n">
        <v>17</v>
      </c>
      <c r="G39" s="62" t="n">
        <v>18</v>
      </c>
      <c r="H39" s="62" t="n">
        <v>16</v>
      </c>
      <c r="I39" s="62" t="n">
        <v>15</v>
      </c>
      <c r="J39" s="62" t="n">
        <v>15</v>
      </c>
    </row>
    <row r="40" customFormat="false" ht="15" hidden="false" customHeight="false" outlineLevel="0" collapsed="false">
      <c r="B40" s="6" t="s">
        <v>485</v>
      </c>
      <c r="C40" s="62" t="n">
        <v>4</v>
      </c>
      <c r="D40" s="62" t="n">
        <v>5</v>
      </c>
      <c r="E40" s="62" t="n">
        <v>6</v>
      </c>
      <c r="F40" s="62" t="n">
        <v>8</v>
      </c>
      <c r="G40" s="62" t="n">
        <v>7</v>
      </c>
      <c r="H40" s="62" t="n">
        <v>6</v>
      </c>
      <c r="I40" s="62" t="n">
        <v>5</v>
      </c>
      <c r="J40" s="62" t="n">
        <v>4</v>
      </c>
    </row>
    <row r="41" customFormat="false" ht="15" hidden="false" customHeight="false" outlineLevel="0" collapsed="false">
      <c r="B41" s="5" t="s">
        <v>486</v>
      </c>
      <c r="C41" s="64" t="n">
        <f aca="false">(C38-C40)/SUM(C38:C40)*100</f>
        <v>54</v>
      </c>
      <c r="D41" s="64" t="n">
        <f aca="false">(D38-D40)/SUM(D38:D40)*100</f>
        <v>48</v>
      </c>
      <c r="E41" s="64" t="n">
        <f aca="false">(E38-E40)/SUM(E38:E40)*100</f>
        <v>42</v>
      </c>
      <c r="F41" s="64" t="n">
        <f aca="false">(F38-F40)/SUM(F38:F40)*100</f>
        <v>34</v>
      </c>
      <c r="G41" s="64" t="n">
        <f aca="false">(G38-G40)/SUM(G38:G40)*100</f>
        <v>36</v>
      </c>
      <c r="H41" s="64" t="n">
        <f aca="false">(H38-H40)/SUM(H38:H40)*100</f>
        <v>44</v>
      </c>
      <c r="I41" s="64" t="n">
        <f aca="false">(I38-I40)/SUM(I38:I40)*100</f>
        <v>50</v>
      </c>
      <c r="J41" s="64" t="n">
        <f aca="false">(J38-J40)/SUM(J38:J40)*100</f>
        <v>54</v>
      </c>
    </row>
    <row r="43" customFormat="false" ht="15" hidden="false" customHeight="false" outlineLevel="0" collapsed="false">
      <c r="B43" s="3" t="s">
        <v>487</v>
      </c>
      <c r="C43" s="65" t="n">
        <f aca="false">AVERAGE(C11,C19,C27,C35)/5</f>
        <v>0.822</v>
      </c>
      <c r="D43" s="65" t="n">
        <f aca="false">AVERAGE(D11,D19,D27,D35)/5</f>
        <v>0.807</v>
      </c>
      <c r="E43" s="65" t="n">
        <f aca="false">AVERAGE(E11,E19,E27,E35)/5</f>
        <v>0.795</v>
      </c>
      <c r="F43" s="65" t="n">
        <f aca="false">AVERAGE(F11,F19,F27,F35)/5</f>
        <v>0.788</v>
      </c>
      <c r="G43" s="65" t="n">
        <f aca="false">AVERAGE(G11,G19,G27,G35)/5</f>
        <v>0.785</v>
      </c>
      <c r="H43" s="65" t="n">
        <f aca="false">AVERAGE(H11,H19,H27,H35)/5</f>
        <v>0.798</v>
      </c>
      <c r="I43" s="65" t="n">
        <f aca="false">AVERAGE(I11,I19,I27,I35)/5</f>
        <v>0.81</v>
      </c>
      <c r="J43" s="65" t="n">
        <f aca="false">AVERAGE(J11,J19,J27,J35)/5</f>
        <v>0.813</v>
      </c>
    </row>
    <row r="44" customFormat="false" ht="15" hidden="false" customHeight="false" outlineLevel="0" collapsed="false">
      <c r="B44" s="5" t="s">
        <v>488</v>
      </c>
      <c r="C44" s="66" t="n">
        <f aca="false">AVERAGE(C11,C19,C27,C35)</f>
        <v>4.11</v>
      </c>
      <c r="D44" s="66" t="n">
        <f aca="false">AVERAGE(D11,D19,D27,D35)</f>
        <v>4.035</v>
      </c>
      <c r="E44" s="66" t="n">
        <f aca="false">AVERAGE(E11,E19,E27,E35)</f>
        <v>3.975</v>
      </c>
      <c r="F44" s="66" t="n">
        <f aca="false">AVERAGE(F11,F19,F27,F35)</f>
        <v>3.94</v>
      </c>
      <c r="G44" s="66" t="n">
        <f aca="false">AVERAGE(G11,G19,G27,G35)</f>
        <v>3.925</v>
      </c>
      <c r="H44" s="66" t="n">
        <f aca="false">AVERAGE(H11,H19,H27,H35)</f>
        <v>3.99</v>
      </c>
      <c r="I44" s="66" t="n">
        <f aca="false">AVERAGE(I11,I19,I27,I35)</f>
        <v>4.05</v>
      </c>
      <c r="J44" s="66" t="n">
        <f aca="false">AVERAGE(J11,J19,J27,J35)</f>
        <v>4.065</v>
      </c>
    </row>
    <row r="46" customFormat="false" ht="15" hidden="false" customHeight="false" outlineLevel="0" collapsed="false">
      <c r="B46" s="3" t="s">
        <v>489</v>
      </c>
    </row>
    <row r="47" customFormat="false" ht="15" hidden="false" customHeight="false" outlineLevel="0" collapsed="false">
      <c r="B47" s="10" t="s">
        <v>490</v>
      </c>
    </row>
    <row r="48" customFormat="false" ht="15" hidden="false" customHeight="false" outlineLevel="0" collapsed="false">
      <c r="B48" s="10" t="s">
        <v>491</v>
      </c>
    </row>
    <row r="49" customFormat="false" ht="15" hidden="false" customHeight="false" outlineLevel="0" collapsed="false">
      <c r="B49" s="10" t="s">
        <v>492</v>
      </c>
    </row>
    <row r="50" customFormat="false" ht="15" hidden="false" customHeight="false" outlineLevel="0" collapsed="false">
      <c r="B50" s="10" t="s">
        <v>493</v>
      </c>
    </row>
    <row r="51" customFormat="false" ht="15" hidden="false" customHeight="false" outlineLevel="0" collapsed="false">
      <c r="B51" s="10" t="s">
        <v>494</v>
      </c>
    </row>
    <row r="53" customFormat="false" ht="15" hidden="false" customHeight="false" outlineLevel="0" collapsed="false">
      <c r="B53" s="3" t="s">
        <v>495</v>
      </c>
    </row>
    <row r="54" customFormat="false" ht="15" hidden="false" customHeight="false" outlineLevel="0" collapsed="false">
      <c r="B54" s="6" t="s">
        <v>472</v>
      </c>
    </row>
    <row r="55" customFormat="false" ht="15" hidden="false" customHeight="false" outlineLevel="0" collapsed="false">
      <c r="B55" s="6" t="s">
        <v>479</v>
      </c>
    </row>
    <row r="56" customFormat="false" ht="15" hidden="false" customHeight="false" outlineLevel="0" collapsed="false">
      <c r="B56" s="6" t="s">
        <v>480</v>
      </c>
    </row>
    <row r="57" customFormat="false" ht="15" hidden="false" customHeight="false" outlineLevel="0" collapsed="false">
      <c r="B57" s="6" t="s">
        <v>481</v>
      </c>
    </row>
    <row r="58" customFormat="false" ht="15" hidden="false" customHeight="false" outlineLevel="0" collapsed="false">
      <c r="B58" s="6" t="s">
        <v>482</v>
      </c>
    </row>
    <row r="59" customFormat="false" ht="15" hidden="false" customHeight="false" outlineLevel="0" collapsed="false">
      <c r="B59" s="6" t="s">
        <v>496</v>
      </c>
    </row>
    <row r="60" customFormat="false" ht="15" hidden="false" customHeight="false" outlineLevel="0" collapsed="false">
      <c r="B60" s="6" t="s">
        <v>497</v>
      </c>
    </row>
    <row r="61" customFormat="false" ht="15" hidden="false" customHeight="false" outlineLevel="0" collapsed="false">
      <c r="B61" s="6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9" t="s">
        <v>499</v>
      </c>
    </row>
    <row r="3" customFormat="false" ht="15" hidden="false" customHeight="false" outlineLevel="0" collapsed="false">
      <c r="B3" s="67" t="s">
        <v>500</v>
      </c>
      <c r="C3" s="67" t="s">
        <v>501</v>
      </c>
      <c r="D3" s="67" t="s">
        <v>502</v>
      </c>
    </row>
    <row r="4" customFormat="false" ht="35.05" hidden="false" customHeight="false" outlineLevel="0" collapsed="false">
      <c r="B4" s="27" t="s">
        <v>503</v>
      </c>
      <c r="C4" s="27" t="s">
        <v>504</v>
      </c>
      <c r="D4" s="27" t="s">
        <v>505</v>
      </c>
    </row>
    <row r="5" customFormat="false" ht="15" hidden="false" customHeight="false" outlineLevel="0" collapsed="false">
      <c r="B5" s="27" t="s">
        <v>506</v>
      </c>
      <c r="C5" s="27" t="s">
        <v>507</v>
      </c>
      <c r="D5" s="27" t="s">
        <v>505</v>
      </c>
    </row>
    <row r="6" customFormat="false" ht="23.85" hidden="false" customHeight="false" outlineLevel="0" collapsed="false">
      <c r="B6" s="27" t="s">
        <v>508</v>
      </c>
      <c r="C6" s="27" t="s">
        <v>509</v>
      </c>
      <c r="D6" s="27" t="s">
        <v>510</v>
      </c>
    </row>
    <row r="7" customFormat="false" ht="23.85" hidden="false" customHeight="false" outlineLevel="0" collapsed="false">
      <c r="B7" s="27" t="s">
        <v>511</v>
      </c>
      <c r="C7" s="27" t="s">
        <v>512</v>
      </c>
      <c r="D7" s="27" t="s">
        <v>510</v>
      </c>
    </row>
    <row r="8" customFormat="false" ht="23.85" hidden="false" customHeight="false" outlineLevel="0" collapsed="false">
      <c r="B8" s="27" t="s">
        <v>513</v>
      </c>
      <c r="C8" s="27" t="s">
        <v>514</v>
      </c>
      <c r="D8" s="27" t="s">
        <v>510</v>
      </c>
    </row>
    <row r="9" customFormat="false" ht="15" hidden="false" customHeight="false" outlineLevel="0" collapsed="false">
      <c r="B9" s="27" t="s">
        <v>515</v>
      </c>
      <c r="C9" s="27" t="s">
        <v>516</v>
      </c>
      <c r="D9" s="27" t="s">
        <v>510</v>
      </c>
    </row>
    <row r="10" customFormat="false" ht="15" hidden="false" customHeight="false" outlineLevel="0" collapsed="false">
      <c r="B10" s="27" t="s">
        <v>517</v>
      </c>
      <c r="C10" s="27" t="s">
        <v>518</v>
      </c>
      <c r="D10" s="27" t="s">
        <v>505</v>
      </c>
    </row>
    <row r="11" customFormat="false" ht="15" hidden="false" customHeight="false" outlineLevel="0" collapsed="false">
      <c r="B11" s="27" t="s">
        <v>519</v>
      </c>
      <c r="C11" s="27" t="s">
        <v>520</v>
      </c>
      <c r="D11" s="27" t="s">
        <v>521</v>
      </c>
    </row>
    <row r="12" customFormat="false" ht="35.05" hidden="false" customHeight="false" outlineLevel="0" collapsed="false">
      <c r="B12" s="27" t="s">
        <v>522</v>
      </c>
      <c r="C12" s="27" t="s">
        <v>523</v>
      </c>
      <c r="D12" s="27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2026-10-26T16:22:39Z</dcterms:created>
  <dc:creator>openpyxl</dc:creator>
  <dc:description/>
  <dc:language>en-US</dc:language>
  <cp:lastModifiedBy/>
  <dcterms:modified xsi:type="dcterms:W3CDTF">2026-10-26T16:22:39Z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